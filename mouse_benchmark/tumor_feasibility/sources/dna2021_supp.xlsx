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lijin\Box\GenMed resubmission files\Final Version\"/>
    </mc:Choice>
  </mc:AlternateContent>
  <bookViews>
    <workbookView xWindow="0" yWindow="0" windowWidth="19170" windowHeight="12420" activeTab="3"/>
  </bookViews>
  <sheets>
    <sheet name="Table S1" sheetId="1" r:id="rId1"/>
    <sheet name="Table S2" sheetId="2" r:id="rId2"/>
    <sheet name="Table S3" sheetId="3" r:id="rId3"/>
    <sheet name="Table S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4" l="1"/>
  <c r="E15" i="4"/>
  <c r="E14" i="4"/>
  <c r="E13" i="4"/>
  <c r="E12" i="4"/>
  <c r="E11" i="4"/>
  <c r="E10" i="4"/>
  <c r="E9" i="4"/>
  <c r="E8" i="4"/>
  <c r="E7" i="4"/>
  <c r="E6" i="4"/>
  <c r="E5" i="4"/>
  <c r="E4" i="4"/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</calcChain>
</file>

<file path=xl/sharedStrings.xml><?xml version="1.0" encoding="utf-8"?>
<sst xmlns="http://schemas.openxmlformats.org/spreadsheetml/2006/main" count="209" uniqueCount="139">
  <si>
    <t>Epitope ID</t>
  </si>
  <si>
    <t>pp65 (CMV)</t>
  </si>
  <si>
    <r>
      <t>GILAR</t>
    </r>
    <r>
      <rPr>
        <u/>
        <sz val="11"/>
        <color theme="1"/>
        <rFont val="Arial"/>
        <family val="2"/>
      </rPr>
      <t>NLVPMVATV</t>
    </r>
    <r>
      <rPr>
        <sz val="11"/>
        <color theme="1"/>
        <rFont val="Arial"/>
        <family val="2"/>
      </rPr>
      <t>QGQNLK</t>
    </r>
  </si>
  <si>
    <t>LMP2 (EBV)</t>
  </si>
  <si>
    <r>
      <t>GPVFM</t>
    </r>
    <r>
      <rPr>
        <u/>
        <sz val="11"/>
        <color theme="1"/>
        <rFont val="Arial"/>
        <family val="2"/>
      </rPr>
      <t>CLGGLLTMV</t>
    </r>
    <r>
      <rPr>
        <sz val="11"/>
        <color theme="1"/>
        <rFont val="Arial"/>
        <family val="2"/>
      </rPr>
      <t>AGAVWL</t>
    </r>
  </si>
  <si>
    <t>IE (CMV)</t>
  </si>
  <si>
    <r>
      <t>VLCCY</t>
    </r>
    <r>
      <rPr>
        <u/>
        <sz val="11"/>
        <color theme="1"/>
        <rFont val="Arial"/>
        <family val="2"/>
      </rPr>
      <t>VLEETSVML</t>
    </r>
    <r>
      <rPr>
        <sz val="11"/>
        <color theme="1"/>
        <rFont val="Arial"/>
        <family val="2"/>
      </rPr>
      <t>AKRPLI</t>
    </r>
  </si>
  <si>
    <t>G280 (gp100)</t>
  </si>
  <si>
    <r>
      <t>VVTHT</t>
    </r>
    <r>
      <rPr>
        <u/>
        <sz val="11"/>
        <color theme="1"/>
        <rFont val="Arial"/>
        <family val="2"/>
      </rPr>
      <t>YLEPGPVTA</t>
    </r>
    <r>
      <rPr>
        <sz val="11"/>
        <color theme="1"/>
        <rFont val="Arial"/>
        <family val="2"/>
      </rPr>
      <t>QVVLQA</t>
    </r>
  </si>
  <si>
    <t>BMLF1 (EBV)</t>
  </si>
  <si>
    <r>
      <t>AIQNA</t>
    </r>
    <r>
      <rPr>
        <u/>
        <sz val="11"/>
        <color theme="1"/>
        <rFont val="Arial"/>
        <family val="2"/>
      </rPr>
      <t>GLCTLVAML</t>
    </r>
    <r>
      <rPr>
        <sz val="11"/>
        <color theme="1"/>
        <rFont val="Arial"/>
        <family val="2"/>
      </rPr>
      <t>EETIF</t>
    </r>
  </si>
  <si>
    <t>G209 (gp100)</t>
  </si>
  <si>
    <r>
      <t>SSAFT</t>
    </r>
    <r>
      <rPr>
        <u/>
        <sz val="11"/>
        <color theme="1"/>
        <rFont val="Arial"/>
        <family val="2"/>
      </rPr>
      <t>ITDQVPFSV</t>
    </r>
    <r>
      <rPr>
        <sz val="11"/>
        <color theme="1"/>
        <rFont val="Arial"/>
        <family val="2"/>
      </rPr>
      <t>QLRALD</t>
    </r>
  </si>
  <si>
    <t>SVG9 (WNV)</t>
  </si>
  <si>
    <r>
      <t>AWDFG</t>
    </r>
    <r>
      <rPr>
        <u/>
        <sz val="11"/>
        <color theme="1"/>
        <rFont val="Arial"/>
        <family val="2"/>
      </rPr>
      <t>SVGGVFTSV</t>
    </r>
    <r>
      <rPr>
        <sz val="11"/>
        <color theme="1"/>
        <rFont val="Arial"/>
        <family val="2"/>
      </rPr>
      <t>GKAVHQ</t>
    </r>
  </si>
  <si>
    <t>M1 (Flu)</t>
  </si>
  <si>
    <r>
      <t>SPLTK</t>
    </r>
    <r>
      <rPr>
        <u/>
        <sz val="11"/>
        <color theme="1"/>
        <rFont val="Arial"/>
        <family val="2"/>
      </rPr>
      <t>GILGFVFTLT</t>
    </r>
    <r>
      <rPr>
        <sz val="11"/>
        <color theme="1"/>
        <rFont val="Arial"/>
        <family val="2"/>
      </rPr>
      <t>VPSER</t>
    </r>
  </si>
  <si>
    <t>-</t>
  </si>
  <si>
    <t>Kb</t>
  </si>
  <si>
    <r>
      <t>LEIQGTDP</t>
    </r>
    <r>
      <rPr>
        <u/>
        <sz val="11"/>
        <rFont val="Arial"/>
        <family val="2"/>
      </rPr>
      <t>VS</t>
    </r>
    <r>
      <rPr>
        <u/>
        <sz val="11"/>
        <color indexed="10"/>
        <rFont val="Arial"/>
        <family val="2"/>
      </rPr>
      <t>A</t>
    </r>
    <r>
      <rPr>
        <u/>
        <sz val="11"/>
        <rFont val="Arial"/>
        <family val="2"/>
      </rPr>
      <t>VTLSLL</t>
    </r>
    <r>
      <rPr>
        <sz val="11"/>
        <rFont val="Arial"/>
        <family val="2"/>
      </rPr>
      <t>DPET</t>
    </r>
  </si>
  <si>
    <t>Map3k6.T552A</t>
  </si>
  <si>
    <t>Db</t>
  </si>
  <si>
    <r>
      <t>EPFEKPVMIS</t>
    </r>
    <r>
      <rPr>
        <u/>
        <sz val="11"/>
        <color indexed="10"/>
        <rFont val="Arial"/>
        <family val="2"/>
      </rPr>
      <t>M</t>
    </r>
    <r>
      <rPr>
        <u/>
        <sz val="11"/>
        <rFont val="Arial"/>
        <family val="2"/>
      </rPr>
      <t>GNENVVEI</t>
    </r>
    <r>
      <rPr>
        <sz val="11"/>
        <rFont val="Arial"/>
        <family val="2"/>
      </rPr>
      <t>KG</t>
    </r>
  </si>
  <si>
    <t>Met.I851M</t>
  </si>
  <si>
    <r>
      <t>LV</t>
    </r>
    <r>
      <rPr>
        <u/>
        <sz val="11"/>
        <rFont val="Arial"/>
        <family val="2"/>
      </rPr>
      <t>SMPLWAKH</t>
    </r>
    <r>
      <rPr>
        <u/>
        <sz val="11"/>
        <color indexed="10"/>
        <rFont val="Arial"/>
        <family val="2"/>
      </rPr>
      <t>M</t>
    </r>
    <r>
      <rPr>
        <sz val="11"/>
        <rFont val="Arial"/>
        <family val="2"/>
      </rPr>
      <t>SDEQIQGFVE</t>
    </r>
  </si>
  <si>
    <t>BC057079.V1474M</t>
  </si>
  <si>
    <r>
      <t>DVSVTKALQH</t>
    </r>
    <r>
      <rPr>
        <u/>
        <sz val="11"/>
        <color indexed="10"/>
        <rFont val="Arial"/>
        <family val="2"/>
      </rPr>
      <t>L</t>
    </r>
    <r>
      <rPr>
        <u/>
        <sz val="11"/>
        <rFont val="Arial"/>
        <family val="2"/>
      </rPr>
      <t>SHYFEGVL</t>
    </r>
    <r>
      <rPr>
        <sz val="11"/>
        <rFont val="Arial"/>
        <family val="2"/>
      </rPr>
      <t>KC</t>
    </r>
  </si>
  <si>
    <t>Prkag1.R268L</t>
  </si>
  <si>
    <r>
      <t>LFEDTNLCA</t>
    </r>
    <r>
      <rPr>
        <u/>
        <sz val="11"/>
        <rFont val="Arial"/>
        <family val="2"/>
      </rPr>
      <t>I</t>
    </r>
    <r>
      <rPr>
        <u/>
        <sz val="11"/>
        <color indexed="10"/>
        <rFont val="Arial"/>
        <family val="2"/>
      </rPr>
      <t>N</t>
    </r>
    <r>
      <rPr>
        <u/>
        <sz val="11"/>
        <rFont val="Arial"/>
        <family val="2"/>
      </rPr>
      <t>AKRVTIM</t>
    </r>
    <r>
      <rPr>
        <sz val="11"/>
        <rFont val="Arial"/>
        <family val="2"/>
      </rPr>
      <t>PKD</t>
    </r>
  </si>
  <si>
    <t>Hist1h3e.H114N</t>
  </si>
  <si>
    <r>
      <t>LGKELF</t>
    </r>
    <r>
      <rPr>
        <u/>
        <sz val="11"/>
        <rFont val="Arial"/>
        <family val="2"/>
      </rPr>
      <t>MYFG</t>
    </r>
    <r>
      <rPr>
        <u/>
        <sz val="11"/>
        <color indexed="10"/>
        <rFont val="Arial"/>
        <family val="2"/>
      </rPr>
      <t>H</t>
    </r>
    <r>
      <rPr>
        <u/>
        <sz val="11"/>
        <rFont val="Arial"/>
        <family val="2"/>
      </rPr>
      <t>RAL</t>
    </r>
    <r>
      <rPr>
        <sz val="11"/>
        <rFont val="Arial"/>
        <family val="2"/>
      </rPr>
      <t>RIHFGMK</t>
    </r>
  </si>
  <si>
    <t>Neil3.P90H</t>
  </si>
  <si>
    <t>++</t>
  </si>
  <si>
    <r>
      <t>RVG</t>
    </r>
    <r>
      <rPr>
        <u/>
        <sz val="11"/>
        <rFont val="Arial"/>
        <family val="2"/>
      </rPr>
      <t>KVFNAPA</t>
    </r>
    <r>
      <rPr>
        <u/>
        <sz val="11"/>
        <color indexed="10"/>
        <rFont val="Arial"/>
        <family val="2"/>
      </rPr>
      <t>L</t>
    </r>
    <r>
      <rPr>
        <sz val="11"/>
        <rFont val="Arial"/>
        <family val="2"/>
      </rPr>
      <t>PKASRKALGT</t>
    </r>
  </si>
  <si>
    <t>Pttg1.V53L</t>
  </si>
  <si>
    <r>
      <t>TDS</t>
    </r>
    <r>
      <rPr>
        <u/>
        <sz val="11"/>
        <rFont val="Arial"/>
        <family val="2"/>
      </rPr>
      <t>VIRLLSA</t>
    </r>
    <r>
      <rPr>
        <u/>
        <sz val="11"/>
        <color indexed="10"/>
        <rFont val="Arial"/>
        <family val="2"/>
      </rPr>
      <t>L</t>
    </r>
    <r>
      <rPr>
        <sz val="11"/>
        <rFont val="Arial"/>
        <family val="2"/>
      </rPr>
      <t>LRVSEVESRA</t>
    </r>
  </si>
  <si>
    <t>Xpo4.V611L</t>
  </si>
  <si>
    <t>++++</t>
  </si>
  <si>
    <r>
      <t>FKGILPNLP</t>
    </r>
    <r>
      <rPr>
        <u/>
        <sz val="11"/>
        <rFont val="Arial"/>
        <family val="2"/>
      </rPr>
      <t>S</t>
    </r>
    <r>
      <rPr>
        <u/>
        <sz val="11"/>
        <color indexed="10"/>
        <rFont val="Arial"/>
        <family val="2"/>
      </rPr>
      <t>A</t>
    </r>
    <r>
      <rPr>
        <u/>
        <sz val="11"/>
        <rFont val="Arial"/>
        <family val="2"/>
      </rPr>
      <t>YQNTVHA</t>
    </r>
    <r>
      <rPr>
        <sz val="11"/>
        <rFont val="Arial"/>
        <family val="2"/>
      </rPr>
      <t>NRM</t>
    </r>
  </si>
  <si>
    <t>Lrrc27.G330A</t>
  </si>
  <si>
    <r>
      <t>ADLDFARQYY</t>
    </r>
    <r>
      <rPr>
        <u/>
        <sz val="11"/>
        <color indexed="10"/>
        <rFont val="Arial"/>
        <family val="2"/>
      </rPr>
      <t>V</t>
    </r>
    <r>
      <rPr>
        <u/>
        <sz val="11"/>
        <rFont val="Arial"/>
        <family val="2"/>
      </rPr>
      <t>MLYNTADEL</t>
    </r>
    <r>
      <rPr>
        <sz val="11"/>
        <rFont val="Arial"/>
        <family val="2"/>
      </rPr>
      <t>L</t>
    </r>
  </si>
  <si>
    <t>Exoc4.E901V</t>
  </si>
  <si>
    <t>+++</t>
  </si>
  <si>
    <r>
      <t>RPWEKPDKG</t>
    </r>
    <r>
      <rPr>
        <u/>
        <sz val="11"/>
        <rFont val="Arial"/>
        <family val="2"/>
      </rPr>
      <t>A</t>
    </r>
    <r>
      <rPr>
        <u/>
        <sz val="11"/>
        <color indexed="10"/>
        <rFont val="Arial"/>
        <family val="2"/>
      </rPr>
      <t>S</t>
    </r>
    <r>
      <rPr>
        <u/>
        <sz val="11"/>
        <rFont val="Arial"/>
        <family val="2"/>
      </rPr>
      <t>YTPQAL</t>
    </r>
    <r>
      <rPr>
        <sz val="11"/>
        <rFont val="Arial"/>
        <family val="2"/>
      </rPr>
      <t>KKFP</t>
    </r>
  </si>
  <si>
    <t>Plekho1.P251S</t>
  </si>
  <si>
    <r>
      <t>NEKINRVV</t>
    </r>
    <r>
      <rPr>
        <u/>
        <sz val="11"/>
        <rFont val="Arial"/>
        <family val="2"/>
      </rPr>
      <t>FV</t>
    </r>
    <r>
      <rPr>
        <u/>
        <sz val="11"/>
        <color indexed="10"/>
        <rFont val="Arial"/>
        <family val="2"/>
      </rPr>
      <t>W</t>
    </r>
    <r>
      <rPr>
        <u/>
        <sz val="11"/>
        <rFont val="Arial"/>
        <family val="2"/>
      </rPr>
      <t>NFLRV</t>
    </r>
    <r>
      <rPr>
        <sz val="11"/>
        <rFont val="Arial"/>
        <family val="2"/>
      </rPr>
      <t>NTLSM</t>
    </r>
  </si>
  <si>
    <t>Pank3.G321W</t>
  </si>
  <si>
    <r>
      <t>QLA</t>
    </r>
    <r>
      <rPr>
        <u/>
        <sz val="11"/>
        <rFont val="Arial"/>
        <family val="2"/>
      </rPr>
      <t>STYTAYI</t>
    </r>
    <r>
      <rPr>
        <u/>
        <sz val="11"/>
        <color indexed="10"/>
        <rFont val="Arial"/>
        <family val="2"/>
      </rPr>
      <t>V</t>
    </r>
    <r>
      <rPr>
        <sz val="11"/>
        <rFont val="Arial"/>
        <family val="2"/>
      </rPr>
      <t>GYVHYGDWLK</t>
    </r>
  </si>
  <si>
    <t>Tmem101.G96V</t>
  </si>
  <si>
    <t>ELISPOT</t>
  </si>
  <si>
    <t>Gene  FPKM</t>
  </si>
  <si>
    <t>RNA  VAF</t>
  </si>
  <si>
    <t>Tumor  VAF</t>
  </si>
  <si>
    <t>Normal VAF</t>
  </si>
  <si>
    <t>H-2 allele</t>
  </si>
  <si>
    <t>Fold change</t>
  </si>
  <si>
    <t>WT score</t>
  </si>
  <si>
    <t>MT score</t>
  </si>
  <si>
    <t>Mutation</t>
  </si>
  <si>
    <t>Ld</t>
  </si>
  <si>
    <r>
      <t>FTLTALRRRG</t>
    </r>
    <r>
      <rPr>
        <u/>
        <sz val="11"/>
        <color indexed="8"/>
        <rFont val="Arial"/>
        <family val="2"/>
      </rPr>
      <t>FPP</t>
    </r>
    <r>
      <rPr>
        <u/>
        <sz val="11"/>
        <color indexed="10"/>
        <rFont val="Arial"/>
        <family val="2"/>
      </rPr>
      <t>D</t>
    </r>
    <r>
      <rPr>
        <u/>
        <sz val="11"/>
        <color indexed="8"/>
        <rFont val="Arial"/>
        <family val="2"/>
      </rPr>
      <t>AINNF</t>
    </r>
    <r>
      <rPr>
        <sz val="11"/>
        <color indexed="8"/>
        <rFont val="Arial"/>
        <family val="2"/>
      </rPr>
      <t>CARVGVTV</t>
    </r>
  </si>
  <si>
    <t xml:space="preserve">  Qars.E530D</t>
  </si>
  <si>
    <t>Kd</t>
  </si>
  <si>
    <r>
      <t>GFLKAYVKKF</t>
    </r>
    <r>
      <rPr>
        <u/>
        <sz val="11"/>
        <color indexed="8"/>
        <rFont val="Arial"/>
        <family val="2"/>
      </rPr>
      <t>SYQS</t>
    </r>
    <r>
      <rPr>
        <u/>
        <sz val="11"/>
        <color indexed="10"/>
        <rFont val="Arial"/>
        <family val="2"/>
      </rPr>
      <t>I</t>
    </r>
    <r>
      <rPr>
        <u/>
        <sz val="11"/>
        <color indexed="8"/>
        <rFont val="Arial"/>
        <family val="2"/>
      </rPr>
      <t>TTDD</t>
    </r>
    <r>
      <rPr>
        <sz val="11"/>
        <color indexed="8"/>
        <rFont val="Arial"/>
        <family val="2"/>
      </rPr>
      <t>WKSFLYSHFK</t>
    </r>
  </si>
  <si>
    <t xml:space="preserve">  Lta4h.V420I</t>
  </si>
  <si>
    <r>
      <t>DSVTKF</t>
    </r>
    <r>
      <rPr>
        <u/>
        <sz val="11"/>
        <color indexed="8"/>
        <rFont val="Arial"/>
        <family val="2"/>
      </rPr>
      <t>KLQGSPVP</t>
    </r>
    <r>
      <rPr>
        <u/>
        <sz val="11"/>
        <color indexed="10"/>
        <rFont val="Arial"/>
        <family val="2"/>
      </rPr>
      <t>R</t>
    </r>
    <r>
      <rPr>
        <sz val="11"/>
        <color indexed="8"/>
        <rFont val="Arial"/>
        <family val="2"/>
      </rPr>
      <t>LRQSLLWGEPARP</t>
    </r>
  </si>
  <si>
    <t xml:space="preserve">  Igsf9.S813R</t>
  </si>
  <si>
    <r>
      <t>GRNQVVVAAG</t>
    </r>
    <r>
      <rPr>
        <u/>
        <sz val="11"/>
        <color indexed="8"/>
        <rFont val="Arial"/>
        <family val="2"/>
      </rPr>
      <t>RSSWGA</t>
    </r>
    <r>
      <rPr>
        <u/>
        <sz val="11"/>
        <color indexed="10"/>
        <rFont val="Arial"/>
        <family val="2"/>
      </rPr>
      <t>W</t>
    </r>
    <r>
      <rPr>
        <u/>
        <sz val="11"/>
        <color indexed="8"/>
        <rFont val="Arial"/>
        <family val="2"/>
      </rPr>
      <t>LS</t>
    </r>
    <r>
      <rPr>
        <sz val="11"/>
        <color indexed="8"/>
        <rFont val="Arial"/>
        <family val="2"/>
      </rPr>
      <t>GALHVYSFSS</t>
    </r>
  </si>
  <si>
    <t xml:space="preserve">  Gpld1.R829W</t>
  </si>
  <si>
    <t>+</t>
  </si>
  <si>
    <r>
      <t>IPHNPRVA</t>
    </r>
    <r>
      <rPr>
        <u/>
        <sz val="11"/>
        <color indexed="8"/>
        <rFont val="Arial"/>
        <family val="2"/>
      </rPr>
      <t>VKTT</t>
    </r>
    <r>
      <rPr>
        <u/>
        <sz val="11"/>
        <color indexed="10"/>
        <rFont val="Arial"/>
        <family val="2"/>
      </rPr>
      <t>N</t>
    </r>
    <r>
      <rPr>
        <u/>
        <sz val="11"/>
        <color indexed="8"/>
        <rFont val="Arial"/>
        <family val="2"/>
      </rPr>
      <t>NLV</t>
    </r>
    <r>
      <rPr>
        <sz val="11"/>
        <color indexed="8"/>
        <rFont val="Arial"/>
        <family val="2"/>
      </rPr>
      <t>MKNSVCLERDS</t>
    </r>
  </si>
  <si>
    <t xml:space="preserve">  Gen1.K707N</t>
    <phoneticPr fontId="0" type="noConversion"/>
  </si>
  <si>
    <r>
      <t>FKEIQKIIKEPVPDSGLL</t>
    </r>
    <r>
      <rPr>
        <u/>
        <sz val="11"/>
        <color indexed="10"/>
        <rFont val="Arial"/>
        <family val="2"/>
      </rPr>
      <t>G</t>
    </r>
    <r>
      <rPr>
        <u/>
        <sz val="11"/>
        <color indexed="8"/>
        <rFont val="Arial"/>
        <family val="2"/>
      </rPr>
      <t>LFQGQSPL</t>
    </r>
    <r>
      <rPr>
        <sz val="11"/>
        <color indexed="8"/>
        <rFont val="Arial"/>
        <family val="2"/>
      </rPr>
      <t>TS</t>
    </r>
  </si>
  <si>
    <t xml:space="preserve">  Isoc2a.S195G</t>
  </si>
  <si>
    <r>
      <t>LETPRGKIQAK</t>
    </r>
    <r>
      <rPr>
        <u/>
        <sz val="11"/>
        <color indexed="8"/>
        <rFont val="Arial"/>
        <family val="2"/>
      </rPr>
      <t>KWS</t>
    </r>
    <r>
      <rPr>
        <u/>
        <sz val="11"/>
        <color indexed="10"/>
        <rFont val="Arial"/>
        <family val="2"/>
      </rPr>
      <t>L</t>
    </r>
    <r>
      <rPr>
        <u/>
        <sz val="11"/>
        <color indexed="8"/>
        <rFont val="Arial"/>
        <family val="2"/>
      </rPr>
      <t>VPFSIP</t>
    </r>
    <r>
      <rPr>
        <sz val="11"/>
        <color indexed="8"/>
        <rFont val="Arial"/>
        <family val="2"/>
      </rPr>
      <t>VFDILQDC</t>
    </r>
  </si>
  <si>
    <t xml:space="preserve">  Dhx58.R654L</t>
  </si>
  <si>
    <r>
      <t>EGCRGGR</t>
    </r>
    <r>
      <rPr>
        <u/>
        <sz val="11"/>
        <color indexed="8"/>
        <rFont val="Arial"/>
        <family val="2"/>
      </rPr>
      <t>GQKRKRG</t>
    </r>
    <r>
      <rPr>
        <u/>
        <sz val="11"/>
        <color indexed="10"/>
        <rFont val="Arial"/>
        <family val="2"/>
      </rPr>
      <t>C</t>
    </r>
    <r>
      <rPr>
        <u/>
        <sz val="11"/>
        <color indexed="8"/>
        <rFont val="Arial"/>
        <family val="2"/>
      </rPr>
      <t>P</t>
    </r>
    <r>
      <rPr>
        <sz val="11"/>
        <color indexed="8"/>
        <rFont val="Arial"/>
        <family val="2"/>
      </rPr>
      <t>QTHAVVLPLNNGD</t>
    </r>
  </si>
  <si>
    <t xml:space="preserve">  Zfp142.R1119C</t>
  </si>
  <si>
    <r>
      <t>MAMELFRVCLVVV</t>
    </r>
    <r>
      <rPr>
        <u/>
        <sz val="11"/>
        <color indexed="8"/>
        <rFont val="Arial"/>
        <family val="2"/>
      </rPr>
      <t>T</t>
    </r>
    <r>
      <rPr>
        <u/>
        <sz val="11"/>
        <color indexed="10"/>
        <rFont val="Arial"/>
        <family val="2"/>
      </rPr>
      <t>G</t>
    </r>
    <r>
      <rPr>
        <u/>
        <sz val="11"/>
        <color indexed="8"/>
        <rFont val="Arial"/>
        <family val="2"/>
      </rPr>
      <t>IINHPLL</t>
    </r>
    <r>
      <rPr>
        <sz val="11"/>
        <color indexed="8"/>
        <rFont val="Arial"/>
        <family val="2"/>
      </rPr>
      <t>FPRENAT</t>
    </r>
  </si>
  <si>
    <t xml:space="preserve">  Itprip.A15G</t>
  </si>
  <si>
    <r>
      <t>FAICFSC</t>
    </r>
    <r>
      <rPr>
        <u/>
        <sz val="11"/>
        <color indexed="8"/>
        <rFont val="Arial"/>
        <family val="2"/>
      </rPr>
      <t>LLAHA</t>
    </r>
    <r>
      <rPr>
        <u/>
        <sz val="11"/>
        <color indexed="10"/>
        <rFont val="Arial"/>
        <family val="2"/>
      </rPr>
      <t>L</t>
    </r>
    <r>
      <rPr>
        <u/>
        <sz val="11"/>
        <color indexed="8"/>
        <rFont val="Arial"/>
        <family val="2"/>
      </rPr>
      <t>NLI</t>
    </r>
    <r>
      <rPr>
        <sz val="11"/>
        <color indexed="8"/>
        <rFont val="Arial"/>
        <family val="2"/>
      </rPr>
      <t>KLVRGRKPLSW</t>
    </r>
  </si>
  <si>
    <t xml:space="preserve">  Gprc5a.F119L</t>
  </si>
  <si>
    <r>
      <t>INAEESEIRY</t>
    </r>
    <r>
      <rPr>
        <u/>
        <sz val="11"/>
        <color indexed="8"/>
        <rFont val="Arial"/>
        <family val="2"/>
      </rPr>
      <t>STWK</t>
    </r>
    <r>
      <rPr>
        <u/>
        <sz val="11"/>
        <color indexed="10"/>
        <rFont val="Arial"/>
        <family val="2"/>
      </rPr>
      <t>R</t>
    </r>
    <r>
      <rPr>
        <u/>
        <sz val="11"/>
        <color indexed="8"/>
        <rFont val="Arial"/>
        <family val="2"/>
      </rPr>
      <t>AVM</t>
    </r>
    <r>
      <rPr>
        <sz val="11"/>
        <color indexed="8"/>
        <rFont val="Arial"/>
        <family val="2"/>
      </rPr>
      <t>KSIGWVTTQSP</t>
    </r>
  </si>
  <si>
    <t xml:space="preserve">  Gyk.K505R</t>
  </si>
  <si>
    <r>
      <t>RVEKLQLESE</t>
    </r>
    <r>
      <rPr>
        <u/>
        <sz val="11"/>
        <color indexed="8"/>
        <rFont val="Arial"/>
        <family val="2"/>
      </rPr>
      <t>LN</t>
    </r>
    <r>
      <rPr>
        <u/>
        <sz val="11"/>
        <color indexed="10"/>
        <rFont val="Arial"/>
        <family val="2"/>
      </rPr>
      <t>E</t>
    </r>
    <r>
      <rPr>
        <u/>
        <sz val="11"/>
        <color indexed="8"/>
        <rFont val="Arial"/>
        <family val="2"/>
      </rPr>
      <t>SRTECI</t>
    </r>
    <r>
      <rPr>
        <sz val="11"/>
        <color indexed="8"/>
        <rFont val="Arial"/>
        <family val="2"/>
      </rPr>
      <t>TATSQMTA</t>
    </r>
  </si>
  <si>
    <t xml:space="preserve">  Cenpf.D1327E</t>
  </si>
  <si>
    <r>
      <t>QPQQLPATDPKLLK</t>
    </r>
    <r>
      <rPr>
        <u/>
        <sz val="11"/>
        <color indexed="10"/>
        <rFont val="Arial"/>
        <family val="2"/>
      </rPr>
      <t>L</t>
    </r>
    <r>
      <rPr>
        <u/>
        <sz val="11"/>
        <color indexed="8"/>
        <rFont val="Arial"/>
        <family val="2"/>
      </rPr>
      <t>IRKAEKA</t>
    </r>
    <r>
      <rPr>
        <sz val="11"/>
        <color indexed="8"/>
        <rFont val="Arial"/>
        <family val="2"/>
      </rPr>
      <t>EREFRKK</t>
    </r>
  </si>
  <si>
    <t xml:space="preserve">  Pram1.Q572L</t>
  </si>
  <si>
    <r>
      <t>LSRAPRPTGPPA</t>
    </r>
    <r>
      <rPr>
        <u/>
        <sz val="11"/>
        <color indexed="8"/>
        <rFont val="Arial"/>
        <family val="2"/>
      </rPr>
      <t>SR</t>
    </r>
    <r>
      <rPr>
        <u/>
        <sz val="11"/>
        <color indexed="10"/>
        <rFont val="Arial"/>
        <family val="2"/>
      </rPr>
      <t>L</t>
    </r>
    <r>
      <rPr>
        <u/>
        <sz val="11"/>
        <color indexed="8"/>
        <rFont val="Arial"/>
        <family val="2"/>
      </rPr>
      <t>ASKSHSS</t>
    </r>
    <r>
      <rPr>
        <sz val="11"/>
        <color indexed="8"/>
        <rFont val="Arial"/>
        <family val="2"/>
      </rPr>
      <t>VKRLRKM</t>
    </r>
  </si>
  <si>
    <t xml:space="preserve">  Dtx2.P365L</t>
  </si>
  <si>
    <r>
      <t>SKMDLE</t>
    </r>
    <r>
      <rPr>
        <u/>
        <sz val="11"/>
        <color indexed="8"/>
        <rFont val="Arial"/>
        <family val="2"/>
      </rPr>
      <t>KPNYIVPD</t>
    </r>
    <r>
      <rPr>
        <u/>
        <sz val="11"/>
        <color indexed="10"/>
        <rFont val="Arial"/>
        <family val="2"/>
      </rPr>
      <t>C</t>
    </r>
    <r>
      <rPr>
        <sz val="11"/>
        <color indexed="8"/>
        <rFont val="Arial"/>
        <family val="2"/>
      </rPr>
      <t>MPVVYDKLPQPPTH</t>
    </r>
  </si>
  <si>
    <t xml:space="preserve">  Dync1h1.Y3123C</t>
  </si>
  <si>
    <r>
      <t>VGQDKPVFMEEVP</t>
    </r>
    <r>
      <rPr>
        <u/>
        <sz val="11"/>
        <color indexed="8"/>
        <rFont val="Arial"/>
        <family val="2"/>
      </rPr>
      <t>L</t>
    </r>
    <r>
      <rPr>
        <u/>
        <sz val="11"/>
        <color indexed="10"/>
        <rFont val="Arial"/>
        <family val="2"/>
      </rPr>
      <t>P</t>
    </r>
    <r>
      <rPr>
        <u/>
        <sz val="11"/>
        <color indexed="8"/>
        <rFont val="Arial"/>
        <family val="2"/>
      </rPr>
      <t>HTARIPG</t>
    </r>
    <r>
      <rPr>
        <sz val="11"/>
        <color indexed="8"/>
        <rFont val="Arial"/>
        <family val="2"/>
      </rPr>
      <t>LRSLDEV</t>
    </r>
  </si>
  <si>
    <t xml:space="preserve">  Aars2.A697P</t>
  </si>
  <si>
    <t>WT score</t>
    <phoneticPr fontId="0" type="noConversion"/>
  </si>
  <si>
    <t>MT score</t>
    <phoneticPr fontId="0" type="noConversion"/>
  </si>
  <si>
    <t>Mutation</t>
    <phoneticPr fontId="0" type="noConversion"/>
  </si>
  <si>
    <t xml:space="preserve">  Amino acid sequence*                                  </t>
  </si>
  <si>
    <t>* underlined indicate minimal epitope sequences</t>
  </si>
  <si>
    <t>MT 21-mer seq*</t>
  </si>
  <si>
    <t>MT-27/29-mer seq*</t>
  </si>
  <si>
    <t>MT-25-mer seq*</t>
  </si>
  <si>
    <r>
      <t>GDNFRETLKKKK</t>
    </r>
    <r>
      <rPr>
        <u/>
        <sz val="11"/>
        <color rgb="FFFF0000"/>
        <rFont val="Arial"/>
        <family val="2"/>
      </rPr>
      <t>R</t>
    </r>
    <r>
      <rPr>
        <u/>
        <sz val="11"/>
        <rFont val="Arial"/>
        <family val="2"/>
      </rPr>
      <t>TLVMFYAPW</t>
    </r>
    <r>
      <rPr>
        <sz val="11"/>
        <color theme="1"/>
        <rFont val="Arial"/>
        <family val="2"/>
      </rPr>
      <t>CPH</t>
    </r>
  </si>
  <si>
    <r>
      <t>LLMREVPLR</t>
    </r>
    <r>
      <rPr>
        <u/>
        <sz val="11"/>
        <rFont val="Arial"/>
        <family val="2"/>
      </rPr>
      <t>CTI</t>
    </r>
    <r>
      <rPr>
        <u/>
        <sz val="11"/>
        <color rgb="FFFF0000"/>
        <rFont val="Arial"/>
        <family val="2"/>
      </rPr>
      <t>S</t>
    </r>
    <r>
      <rPr>
        <u/>
        <sz val="11"/>
        <rFont val="Arial"/>
        <family val="2"/>
      </rPr>
      <t>LWDTY</t>
    </r>
    <r>
      <rPr>
        <sz val="11"/>
        <color theme="1"/>
        <rFont val="Arial"/>
        <family val="2"/>
      </rPr>
      <t>QSEPDGF</t>
    </r>
  </si>
  <si>
    <r>
      <t>TRRLREQQKT</t>
    </r>
    <r>
      <rPr>
        <u/>
        <sz val="11"/>
        <rFont val="Arial"/>
        <family val="2"/>
      </rPr>
      <t>AE</t>
    </r>
    <r>
      <rPr>
        <u/>
        <sz val="11"/>
        <color rgb="FFFF0000"/>
        <rFont val="Arial"/>
        <family val="2"/>
      </rPr>
      <t>C</t>
    </r>
    <r>
      <rPr>
        <u/>
        <sz val="11"/>
        <rFont val="Arial"/>
        <family val="2"/>
      </rPr>
      <t>DVGDY</t>
    </r>
    <r>
      <rPr>
        <sz val="11"/>
        <color theme="1"/>
        <rFont val="Arial"/>
        <family val="2"/>
      </rPr>
      <t>RCPQDQS</t>
    </r>
  </si>
  <si>
    <r>
      <t>LVRAVQFTETFL</t>
    </r>
    <r>
      <rPr>
        <u/>
        <sz val="11"/>
        <color rgb="FFFF0000"/>
        <rFont val="Arial"/>
        <family val="2"/>
      </rPr>
      <t>M</t>
    </r>
    <r>
      <rPr>
        <u/>
        <sz val="11"/>
        <rFont val="Arial"/>
        <family val="2"/>
      </rPr>
      <t>ERDKQSKW</t>
    </r>
    <r>
      <rPr>
        <sz val="11"/>
        <color theme="1"/>
        <rFont val="Arial"/>
        <family val="2"/>
      </rPr>
      <t>SGIP</t>
    </r>
  </si>
  <si>
    <r>
      <t>EVLEQEKGALSD</t>
    </r>
    <r>
      <rPr>
        <u/>
        <sz val="11"/>
        <color rgb="FFFF0000"/>
        <rFont val="Arial"/>
        <family val="2"/>
      </rPr>
      <t>G</t>
    </r>
    <r>
      <rPr>
        <u/>
        <sz val="11"/>
        <rFont val="Arial"/>
        <family val="2"/>
      </rPr>
      <t>EIVSLSIEF</t>
    </r>
    <r>
      <rPr>
        <sz val="11"/>
        <color theme="1"/>
        <rFont val="Arial"/>
        <family val="2"/>
      </rPr>
      <t>YEG</t>
    </r>
  </si>
  <si>
    <r>
      <t>PSPQAEK</t>
    </r>
    <r>
      <rPr>
        <u/>
        <sz val="11"/>
        <rFont val="Arial"/>
        <family val="2"/>
      </rPr>
      <t>RLPKL</t>
    </r>
    <r>
      <rPr>
        <u/>
        <sz val="11"/>
        <color rgb="FFFF0000"/>
        <rFont val="Arial"/>
        <family val="2"/>
      </rPr>
      <t>H</t>
    </r>
    <r>
      <rPr>
        <u/>
        <sz val="11"/>
        <rFont val="Arial"/>
        <family val="2"/>
      </rPr>
      <t>LEI</t>
    </r>
    <r>
      <rPr>
        <sz val="11"/>
        <color theme="1"/>
        <rFont val="Arial"/>
        <family val="2"/>
      </rPr>
      <t>IDKDSKTRR</t>
    </r>
  </si>
  <si>
    <r>
      <t>VKTDSTGTHSLY</t>
    </r>
    <r>
      <rPr>
        <u/>
        <sz val="11"/>
        <color rgb="FFFF0000"/>
        <rFont val="Arial"/>
        <family val="2"/>
      </rPr>
      <t>A</t>
    </r>
    <r>
      <rPr>
        <u/>
        <sz val="11"/>
        <rFont val="Arial"/>
        <family val="2"/>
      </rPr>
      <t>MYQDYEI</t>
    </r>
    <r>
      <rPr>
        <sz val="11"/>
        <color theme="1"/>
        <rFont val="Arial"/>
        <family val="2"/>
      </rPr>
      <t>MFHVS</t>
    </r>
  </si>
  <si>
    <r>
      <t>ALGAAALAVVK</t>
    </r>
    <r>
      <rPr>
        <u/>
        <sz val="11"/>
        <rFont val="Arial"/>
        <family val="2"/>
      </rPr>
      <t>S</t>
    </r>
    <r>
      <rPr>
        <u/>
        <sz val="11"/>
        <color rgb="FFFF0000"/>
        <rFont val="Arial"/>
        <family val="2"/>
      </rPr>
      <t>T</t>
    </r>
    <r>
      <rPr>
        <u/>
        <sz val="11"/>
        <rFont val="Arial"/>
        <family val="2"/>
      </rPr>
      <t>LEWAPKF</t>
    </r>
    <r>
      <rPr>
        <sz val="11"/>
        <color theme="1"/>
        <rFont val="Arial"/>
        <family val="2"/>
      </rPr>
      <t>QLQLF</t>
    </r>
  </si>
  <si>
    <r>
      <t>VTKEPIPVLPT</t>
    </r>
    <r>
      <rPr>
        <u/>
        <sz val="11"/>
        <rFont val="Arial"/>
        <family val="2"/>
      </rPr>
      <t>V</t>
    </r>
    <r>
      <rPr>
        <u/>
        <sz val="11"/>
        <color rgb="FFFF0000"/>
        <rFont val="Arial"/>
        <family val="2"/>
      </rPr>
      <t>R</t>
    </r>
    <r>
      <rPr>
        <u/>
        <sz val="11"/>
        <rFont val="Arial"/>
        <family val="2"/>
      </rPr>
      <t>YNMGGIP</t>
    </r>
    <r>
      <rPr>
        <sz val="11"/>
        <color theme="1"/>
        <rFont val="Arial"/>
        <family val="2"/>
      </rPr>
      <t>TNYKG</t>
    </r>
  </si>
  <si>
    <r>
      <t>NTLEQE</t>
    </r>
    <r>
      <rPr>
        <u/>
        <sz val="11"/>
        <rFont val="Arial"/>
        <family val="2"/>
      </rPr>
      <t>QEALVN</t>
    </r>
    <r>
      <rPr>
        <u/>
        <sz val="11"/>
        <color rgb="FFFF0000"/>
        <rFont val="Arial"/>
        <family val="2"/>
      </rPr>
      <t>H</t>
    </r>
    <r>
      <rPr>
        <u/>
        <sz val="11"/>
        <rFont val="Arial"/>
        <family val="2"/>
      </rPr>
      <t>LW</t>
    </r>
    <r>
      <rPr>
        <sz val="11"/>
        <color theme="1"/>
        <rFont val="Arial"/>
        <family val="2"/>
      </rPr>
      <t>KRMDKLEAEK</t>
    </r>
  </si>
  <si>
    <r>
      <t>PSAY</t>
    </r>
    <r>
      <rPr>
        <u/>
        <sz val="11"/>
        <rFont val="Arial"/>
        <family val="2"/>
      </rPr>
      <t>YEAALLQL</t>
    </r>
    <r>
      <rPr>
        <u/>
        <sz val="11"/>
        <color rgb="FFFF0000"/>
        <rFont val="Arial"/>
        <family val="2"/>
      </rPr>
      <t>W</t>
    </r>
    <r>
      <rPr>
        <sz val="11"/>
        <color theme="1"/>
        <rFont val="Arial"/>
        <family val="2"/>
      </rPr>
      <t>VTEACTYRPSAQ</t>
    </r>
  </si>
  <si>
    <r>
      <t>RFPLRN</t>
    </r>
    <r>
      <rPr>
        <u/>
        <sz val="11"/>
        <rFont val="Arial"/>
        <family val="2"/>
      </rPr>
      <t>AEMAKV</t>
    </r>
    <r>
      <rPr>
        <u/>
        <sz val="11"/>
        <color rgb="FFFF0000"/>
        <rFont val="Arial"/>
        <family val="2"/>
      </rPr>
      <t>L</t>
    </r>
    <r>
      <rPr>
        <u/>
        <sz val="11"/>
        <rFont val="Arial"/>
        <family val="2"/>
      </rPr>
      <t>EI</t>
    </r>
    <r>
      <rPr>
        <sz val="11"/>
        <color theme="1"/>
        <rFont val="Arial"/>
        <family val="2"/>
      </rPr>
      <t>SSVPASDRMV</t>
    </r>
  </si>
  <si>
    <r>
      <t>HTGEKPYRC</t>
    </r>
    <r>
      <rPr>
        <u/>
        <sz val="11"/>
        <rFont val="Arial"/>
        <family val="2"/>
      </rPr>
      <t>KVC</t>
    </r>
    <r>
      <rPr>
        <u/>
        <sz val="11"/>
        <color rgb="FFFF0000"/>
        <rFont val="Arial"/>
        <family val="2"/>
      </rPr>
      <t>G</t>
    </r>
    <r>
      <rPr>
        <u/>
        <sz val="11"/>
        <rFont val="Arial"/>
        <family val="2"/>
      </rPr>
      <t>TAFTW</t>
    </r>
    <r>
      <rPr>
        <sz val="11"/>
        <color theme="1"/>
        <rFont val="Arial"/>
        <family val="2"/>
      </rPr>
      <t>HSQLARH</t>
    </r>
  </si>
  <si>
    <t>HLA allele</t>
  </si>
  <si>
    <t>B57*01</t>
  </si>
  <si>
    <t>A01*01</t>
  </si>
  <si>
    <t>B44*03</t>
  </si>
  <si>
    <t>A32*01</t>
  </si>
  <si>
    <t>C06*02</t>
  </si>
  <si>
    <r>
      <rPr>
        <b/>
        <sz val="11"/>
        <color theme="1"/>
        <rFont val="Arial"/>
        <family val="2"/>
      </rPr>
      <t xml:space="preserve">Table S1. </t>
    </r>
    <r>
      <rPr>
        <sz val="11"/>
        <color theme="1"/>
        <rFont val="Arial"/>
        <family val="2"/>
      </rPr>
      <t>List of HLA-A2-restricted epitopes included in the octamers for optimizing polyepitope DNA vaccine design</t>
    </r>
  </si>
  <si>
    <r>
      <rPr>
        <b/>
        <sz val="11"/>
        <color theme="1"/>
        <rFont val="Arial"/>
        <family val="2"/>
      </rPr>
      <t>Table S2.</t>
    </r>
    <r>
      <rPr>
        <sz val="11"/>
        <color theme="1"/>
        <rFont val="Arial"/>
        <family val="2"/>
      </rPr>
      <t xml:space="preserve"> Selective neoantigens identified in E0771 mouse breast cancer</t>
    </r>
  </si>
  <si>
    <r>
      <rPr>
        <b/>
        <sz val="11"/>
        <color theme="1"/>
        <rFont val="Arial"/>
        <family val="2"/>
      </rPr>
      <t>Table S3.</t>
    </r>
    <r>
      <rPr>
        <sz val="11"/>
        <color theme="1"/>
        <rFont val="Arial"/>
        <family val="2"/>
      </rPr>
      <t xml:space="preserve"> Neoantigens identified in mouse breast cancer cell line 4T1.2</t>
    </r>
  </si>
  <si>
    <r>
      <rPr>
        <b/>
        <sz val="11"/>
        <color theme="1"/>
        <rFont val="Arial"/>
        <family val="2"/>
      </rPr>
      <t>Table S4.</t>
    </r>
    <r>
      <rPr>
        <sz val="11"/>
        <color theme="1"/>
        <rFont val="Arial"/>
        <family val="2"/>
      </rPr>
      <t xml:space="preserve"> Neoantigens identified in cancer patient GTB16 </t>
    </r>
  </si>
  <si>
    <t>* Amino acids that differ from wildtype sequences are indicated in red. The minimal epitope with the highest predicted affinity is underlined.</t>
  </si>
  <si>
    <r>
      <rPr>
        <i/>
        <sz val="11"/>
        <color theme="1"/>
        <rFont val="Arial"/>
        <family val="2"/>
      </rPr>
      <t>TBC1D22A</t>
    </r>
    <r>
      <rPr>
        <sz val="11"/>
        <color theme="1"/>
        <rFont val="Arial"/>
        <family val="2"/>
      </rPr>
      <t>:p.R437S</t>
    </r>
  </si>
  <si>
    <r>
      <rPr>
        <i/>
        <sz val="11"/>
        <color theme="1"/>
        <rFont val="Arial"/>
        <family val="2"/>
      </rPr>
      <t>PDIA5</t>
    </r>
    <r>
      <rPr>
        <sz val="11"/>
        <color theme="1"/>
        <rFont val="Arial"/>
        <family val="2"/>
      </rPr>
      <t>:p.H416R</t>
    </r>
  </si>
  <si>
    <r>
      <rPr>
        <i/>
        <sz val="11"/>
        <color theme="1"/>
        <rFont val="Arial"/>
        <family val="2"/>
      </rPr>
      <t>GZF1</t>
    </r>
    <r>
      <rPr>
        <sz val="11"/>
        <color theme="1"/>
        <rFont val="Arial"/>
        <family val="2"/>
      </rPr>
      <t>:p.G253C</t>
    </r>
  </si>
  <si>
    <r>
      <rPr>
        <i/>
        <sz val="11"/>
        <color theme="1"/>
        <rFont val="Arial"/>
        <family val="2"/>
      </rPr>
      <t>TRPC4AP</t>
    </r>
    <r>
      <rPr>
        <sz val="11"/>
        <color theme="1"/>
        <rFont val="Arial"/>
        <family val="2"/>
      </rPr>
      <t>:p.T63M</t>
    </r>
  </si>
  <si>
    <r>
      <rPr>
        <i/>
        <sz val="11"/>
        <color theme="1"/>
        <rFont val="Arial"/>
        <family val="2"/>
      </rPr>
      <t>PCGF2</t>
    </r>
    <r>
      <rPr>
        <sz val="11"/>
        <color theme="1"/>
        <rFont val="Arial"/>
        <family val="2"/>
      </rPr>
      <t>:p.D128G</t>
    </r>
  </si>
  <si>
    <r>
      <rPr>
        <i/>
        <sz val="11"/>
        <color theme="1"/>
        <rFont val="Arial"/>
        <family val="2"/>
      </rPr>
      <t>CLPB</t>
    </r>
    <r>
      <rPr>
        <sz val="11"/>
        <color theme="1"/>
        <rFont val="Arial"/>
        <family val="2"/>
      </rPr>
      <t>:p.R679H</t>
    </r>
  </si>
  <si>
    <r>
      <rPr>
        <i/>
        <sz val="11"/>
        <color theme="1"/>
        <rFont val="Arial"/>
        <family val="2"/>
      </rPr>
      <t>SIPA1L3</t>
    </r>
    <r>
      <rPr>
        <sz val="11"/>
        <color theme="1"/>
        <rFont val="Arial"/>
        <family val="2"/>
      </rPr>
      <t>:p.T687A</t>
    </r>
  </si>
  <si>
    <r>
      <rPr>
        <i/>
        <sz val="11"/>
        <color theme="1"/>
        <rFont val="Arial"/>
        <family val="2"/>
      </rPr>
      <t>TBC1D20</t>
    </r>
    <r>
      <rPr>
        <sz val="11"/>
        <color theme="1"/>
        <rFont val="Arial"/>
        <family val="2"/>
      </rPr>
      <t>:p.A390T</t>
    </r>
  </si>
  <si>
    <r>
      <rPr>
        <i/>
        <sz val="11"/>
        <color theme="1"/>
        <rFont val="Arial"/>
        <family val="2"/>
      </rPr>
      <t>SDHA</t>
    </r>
    <r>
      <rPr>
        <sz val="11"/>
        <color theme="1"/>
        <rFont val="Arial"/>
        <family val="2"/>
      </rPr>
      <t>:p.H407R</t>
    </r>
  </si>
  <si>
    <r>
      <rPr>
        <i/>
        <sz val="11"/>
        <color theme="1"/>
        <rFont val="Arial"/>
        <family val="2"/>
      </rPr>
      <t>CCDC6</t>
    </r>
    <r>
      <rPr>
        <sz val="11"/>
        <color theme="1"/>
        <rFont val="Arial"/>
        <family val="2"/>
      </rPr>
      <t>:p.R216H</t>
    </r>
  </si>
  <si>
    <r>
      <rPr>
        <i/>
        <sz val="11"/>
        <color theme="1"/>
        <rFont val="Arial"/>
        <family val="2"/>
      </rPr>
      <t>LAMA5</t>
    </r>
    <r>
      <rPr>
        <sz val="11"/>
        <color theme="1"/>
        <rFont val="Arial"/>
        <family val="2"/>
      </rPr>
      <t>:p.R1026W</t>
    </r>
  </si>
  <si>
    <r>
      <rPr>
        <i/>
        <sz val="11"/>
        <color theme="1"/>
        <rFont val="Arial"/>
        <family val="2"/>
      </rPr>
      <t>SACS</t>
    </r>
    <r>
      <rPr>
        <sz val="11"/>
        <color theme="1"/>
        <rFont val="Arial"/>
        <family val="2"/>
      </rPr>
      <t>:p.S2711L</t>
    </r>
  </si>
  <si>
    <r>
      <rPr>
        <i/>
        <sz val="11"/>
        <color theme="1"/>
        <rFont val="Arial"/>
        <family val="2"/>
      </rPr>
      <t>ZNF611</t>
    </r>
    <r>
      <rPr>
        <sz val="11"/>
        <color theme="1"/>
        <rFont val="Arial"/>
        <family val="2"/>
      </rPr>
      <t>:p.D404G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</si>
</sst>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u/>
      <sz val="11"/>
      <color indexed="1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u/>
      <sz val="11"/>
      <color indexed="8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u/>
      <sz val="11"/>
      <color rgb="FFFF0000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readingOrder="1"/>
    </xf>
    <xf numFmtId="0" fontId="2" fillId="0" borderId="0" xfId="0" applyFont="1" applyAlignment="1">
      <alignment horizontal="center" readingOrder="1"/>
    </xf>
    <xf numFmtId="0" fontId="2" fillId="0" borderId="0" xfId="0" applyFont="1" applyFill="1" applyAlignment="1">
      <alignment vertical="center"/>
    </xf>
    <xf numFmtId="2" fontId="5" fillId="0" borderId="0" xfId="0" quotePrefix="1" applyNumberFormat="1" applyFont="1" applyFill="1" applyAlignment="1">
      <alignment horizontal="center" vertical="center" readingOrder="1"/>
    </xf>
    <xf numFmtId="2" fontId="6" fillId="0" borderId="0" xfId="0" applyNumberFormat="1" applyFont="1" applyFill="1" applyAlignment="1">
      <alignment horizontal="center" vertical="center"/>
    </xf>
    <xf numFmtId="2" fontId="7" fillId="0" borderId="0" xfId="0" applyNumberFormat="1" applyFont="1" applyFill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2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Border="1" applyAlignment="1">
      <alignment vertical="center"/>
    </xf>
    <xf numFmtId="0" fontId="15" fillId="0" borderId="0" xfId="0" applyFont="1" applyAlignment="1">
      <alignment horizontal="left"/>
    </xf>
    <xf numFmtId="0" fontId="13" fillId="0" borderId="0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6" fillId="0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left" vertical="center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Fill="1" applyAlignment="1">
      <alignment horizontal="center"/>
    </xf>
    <xf numFmtId="0" fontId="13" fillId="0" borderId="0" xfId="0" applyFont="1" applyAlignment="1">
      <alignment horizont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37">
    <dxf>
      <font>
        <strike val="0"/>
        <outline val="0"/>
        <shadow val="0"/>
        <u val="none"/>
        <vertAlign val="baseline"/>
        <sz val="11"/>
        <name val="Arial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scheme val="none"/>
      </font>
      <alignment horizontal="center" vertical="bottom" textRotation="0" wrapText="0" indent="0" justifyLastLine="0" shrinkToFit="0" readingOrder="0"/>
    </dxf>
    <dxf>
      <font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scheme val="none"/>
      </font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alignment horizontal="left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5" displayName="Table5" ref="A2:B10" totalsRowShown="0" headerRowDxfId="36" dataDxfId="35">
  <autoFilter ref="A2:B10"/>
  <tableColumns count="2">
    <tableColumn id="1" name="Epitope ID" dataDxfId="34"/>
    <tableColumn id="2" name="  Amino acid sequence*                                  " dataDxfId="3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2:K15" totalsRowShown="0" headerRowDxfId="32" dataDxfId="31">
  <autoFilter ref="A2:K15"/>
  <tableColumns count="11">
    <tableColumn id="1" name="Mutation" dataDxfId="30"/>
    <tableColumn id="2" name="MT 21-mer seq*" dataDxfId="29"/>
    <tableColumn id="4" name="MT score" dataDxfId="28"/>
    <tableColumn id="5" name="WT score" dataDxfId="27"/>
    <tableColumn id="6" name="Fold change" dataDxfId="26"/>
    <tableColumn id="7" name="H-2 allele" dataDxfId="25"/>
    <tableColumn id="3" name="Normal VAF" dataDxfId="24"/>
    <tableColumn id="8" name="Tumor  VAF" dataDxfId="23"/>
    <tableColumn id="9" name="RNA  VAF" dataDxfId="22"/>
    <tableColumn id="10" name="Gene  FPKM" dataDxfId="21"/>
    <tableColumn id="11" name="ELISPOT" dataDxfId="2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le1" displayName="Table1" ref="A2:K18" totalsRowShown="0" headerRowDxfId="19" dataDxfId="18">
  <autoFilter ref="A2:K18"/>
  <sortState ref="A2:K17">
    <sortCondition descending="1" ref="E1:E17"/>
  </sortState>
  <tableColumns count="11">
    <tableColumn id="1" name="Mutation" dataDxfId="17"/>
    <tableColumn id="2" name="MT-27/29-mer seq*"/>
    <tableColumn id="3" name="MT score" dataDxfId="16"/>
    <tableColumn id="4" name="WT score" dataDxfId="15"/>
    <tableColumn id="5" name="Fold change" dataDxfId="14">
      <calculatedColumnFormula>Table1[[#This Row],[WT score]]/Table1[[#This Row],[MT score]]</calculatedColumnFormula>
    </tableColumn>
    <tableColumn id="6" name="H-2 allele" dataDxfId="13"/>
    <tableColumn id="7" name="Normal VAF" dataDxfId="12"/>
    <tableColumn id="8" name="Tumor  VAF" dataDxfId="11"/>
    <tableColumn id="9" name="RNA  VAF" dataDxfId="10"/>
    <tableColumn id="10" name="Gene  FPKM" dataDxfId="9"/>
    <tableColumn id="11" name="ELISPOT" dataDxfId="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Table15" displayName="Table15" ref="A2:F15" totalsRowShown="0" headerRowDxfId="7" dataDxfId="6">
  <autoFilter ref="A2:F15"/>
  <sortState ref="A3:K18">
    <sortCondition descending="1" ref="E1:E17"/>
  </sortState>
  <tableColumns count="6">
    <tableColumn id="1" name="Mutation" dataDxfId="5"/>
    <tableColumn id="2" name="MT-25-mer seq*" dataDxfId="4"/>
    <tableColumn id="3" name="MT score" dataDxfId="3"/>
    <tableColumn id="4" name="WT score" dataDxfId="2"/>
    <tableColumn id="5" name="Fold change" dataDxfId="1">
      <calculatedColumnFormula>Table15[[#This Row],[WT score]]/Table15[[#This Row],[MT score]]</calculatedColumnFormula>
    </tableColumn>
    <tableColumn id="6" name="HLA allel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zoomScaleNormal="100" workbookViewId="0">
      <selection activeCell="B29" sqref="B29"/>
    </sheetView>
  </sheetViews>
  <sheetFormatPr defaultRowHeight="14.25" x14ac:dyDescent="0.2"/>
  <cols>
    <col min="1" max="1" width="18.85546875" style="1" customWidth="1"/>
    <col min="2" max="2" width="36.85546875" style="1" customWidth="1"/>
    <col min="3" max="16384" width="9.140625" style="1"/>
  </cols>
  <sheetData>
    <row r="1" spans="1:2" ht="33.75" customHeight="1" x14ac:dyDescent="0.2">
      <c r="A1" s="42" t="s">
        <v>121</v>
      </c>
      <c r="B1" s="42"/>
    </row>
    <row r="2" spans="1:2" s="33" customFormat="1" ht="33.75" customHeight="1" x14ac:dyDescent="0.2">
      <c r="A2" s="31" t="s">
        <v>0</v>
      </c>
      <c r="B2" s="32" t="s">
        <v>97</v>
      </c>
    </row>
    <row r="3" spans="1:2" s="2" customFormat="1" ht="21" customHeight="1" x14ac:dyDescent="0.25">
      <c r="A3" s="2" t="s">
        <v>1</v>
      </c>
      <c r="B3" s="2" t="s">
        <v>2</v>
      </c>
    </row>
    <row r="4" spans="1:2" s="2" customFormat="1" ht="21" customHeight="1" x14ac:dyDescent="0.25">
      <c r="A4" s="2" t="s">
        <v>3</v>
      </c>
      <c r="B4" s="2" t="s">
        <v>4</v>
      </c>
    </row>
    <row r="5" spans="1:2" s="2" customFormat="1" ht="21" customHeight="1" x14ac:dyDescent="0.25">
      <c r="A5" s="2" t="s">
        <v>5</v>
      </c>
      <c r="B5" s="2" t="s">
        <v>6</v>
      </c>
    </row>
    <row r="6" spans="1:2" s="2" customFormat="1" ht="21" customHeight="1" x14ac:dyDescent="0.25">
      <c r="A6" s="2" t="s">
        <v>7</v>
      </c>
      <c r="B6" s="2" t="s">
        <v>8</v>
      </c>
    </row>
    <row r="7" spans="1:2" s="2" customFormat="1" ht="21" customHeight="1" x14ac:dyDescent="0.25">
      <c r="A7" s="2" t="s">
        <v>9</v>
      </c>
      <c r="B7" s="2" t="s">
        <v>10</v>
      </c>
    </row>
    <row r="8" spans="1:2" s="2" customFormat="1" ht="21" customHeight="1" x14ac:dyDescent="0.25">
      <c r="A8" s="2" t="s">
        <v>11</v>
      </c>
      <c r="B8" s="2" t="s">
        <v>12</v>
      </c>
    </row>
    <row r="9" spans="1:2" s="2" customFormat="1" ht="21" customHeight="1" x14ac:dyDescent="0.25">
      <c r="A9" s="2" t="s">
        <v>13</v>
      </c>
      <c r="B9" s="2" t="s">
        <v>14</v>
      </c>
    </row>
    <row r="10" spans="1:2" s="2" customFormat="1" ht="21" customHeight="1" x14ac:dyDescent="0.25">
      <c r="A10" s="2" t="s">
        <v>15</v>
      </c>
      <c r="B10" s="2" t="s">
        <v>16</v>
      </c>
    </row>
    <row r="12" spans="1:2" x14ac:dyDescent="0.2">
      <c r="A12" s="43" t="s">
        <v>98</v>
      </c>
      <c r="B12" s="43"/>
    </row>
  </sheetData>
  <mergeCells count="2">
    <mergeCell ref="A1:B1"/>
    <mergeCell ref="A12:B1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Normal="100" workbookViewId="0">
      <selection activeCell="A17" sqref="A17:K17"/>
    </sheetView>
  </sheetViews>
  <sheetFormatPr defaultRowHeight="14.25" x14ac:dyDescent="0.2"/>
  <cols>
    <col min="1" max="1" width="19.7109375" style="1" customWidth="1"/>
    <col min="2" max="2" width="32.140625" style="4" customWidth="1"/>
    <col min="3" max="10" width="10" style="1" customWidth="1"/>
    <col min="11" max="11" width="10" style="3" customWidth="1"/>
    <col min="12" max="16384" width="9.140625" style="1"/>
  </cols>
  <sheetData>
    <row r="1" spans="1:11" ht="20.25" customHeight="1" x14ac:dyDescent="0.25">
      <c r="A1" s="44" t="s">
        <v>122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1" s="11" customFormat="1" ht="30" customHeight="1" x14ac:dyDescent="0.25">
      <c r="A2" s="15" t="s">
        <v>58</v>
      </c>
      <c r="B2" s="14" t="s">
        <v>99</v>
      </c>
      <c r="C2" s="13" t="s">
        <v>57</v>
      </c>
      <c r="D2" s="13" t="s">
        <v>56</v>
      </c>
      <c r="E2" s="13" t="s">
        <v>55</v>
      </c>
      <c r="F2" s="13" t="s">
        <v>54</v>
      </c>
      <c r="G2" s="13" t="s">
        <v>53</v>
      </c>
      <c r="H2" s="13" t="s">
        <v>52</v>
      </c>
      <c r="I2" s="13" t="s">
        <v>51</v>
      </c>
      <c r="J2" s="13" t="s">
        <v>50</v>
      </c>
      <c r="K2" s="12" t="s">
        <v>49</v>
      </c>
    </row>
    <row r="3" spans="1:11" s="5" customFormat="1" ht="21" customHeight="1" x14ac:dyDescent="0.2">
      <c r="A3" s="10" t="s">
        <v>48</v>
      </c>
      <c r="B3" s="10" t="s">
        <v>47</v>
      </c>
      <c r="C3" s="9">
        <v>109</v>
      </c>
      <c r="D3" s="38">
        <v>11934</v>
      </c>
      <c r="E3" s="9">
        <v>109.48623853210999</v>
      </c>
      <c r="F3" s="8" t="s">
        <v>18</v>
      </c>
      <c r="G3" s="7">
        <v>0.78</v>
      </c>
      <c r="H3" s="7">
        <v>36.799999999999997</v>
      </c>
      <c r="I3" s="7">
        <v>45.78</v>
      </c>
      <c r="J3" s="7">
        <v>7.8332100000000002</v>
      </c>
      <c r="K3" s="6" t="s">
        <v>17</v>
      </c>
    </row>
    <row r="4" spans="1:11" s="5" customFormat="1" ht="21" customHeight="1" x14ac:dyDescent="0.2">
      <c r="A4" s="10" t="s">
        <v>46</v>
      </c>
      <c r="B4" s="10" t="s">
        <v>45</v>
      </c>
      <c r="C4" s="9">
        <v>58</v>
      </c>
      <c r="D4" s="38">
        <v>2292</v>
      </c>
      <c r="E4" s="9">
        <v>39.517241379310299</v>
      </c>
      <c r="F4" s="8" t="s">
        <v>18</v>
      </c>
      <c r="G4" s="7">
        <v>0.55000000000000004</v>
      </c>
      <c r="H4" s="7">
        <v>38.33</v>
      </c>
      <c r="I4" s="7">
        <v>50.63</v>
      </c>
      <c r="J4" s="7">
        <v>25.0017</v>
      </c>
      <c r="K4" s="6" t="s">
        <v>17</v>
      </c>
    </row>
    <row r="5" spans="1:11" s="5" customFormat="1" ht="21" customHeight="1" x14ac:dyDescent="0.2">
      <c r="A5" s="10" t="s">
        <v>44</v>
      </c>
      <c r="B5" s="10" t="s">
        <v>43</v>
      </c>
      <c r="C5" s="9">
        <v>53</v>
      </c>
      <c r="D5" s="38">
        <v>2070</v>
      </c>
      <c r="E5" s="9">
        <v>39.056603773584897</v>
      </c>
      <c r="F5" s="8" t="s">
        <v>18</v>
      </c>
      <c r="G5" s="7">
        <v>0.37</v>
      </c>
      <c r="H5" s="7">
        <v>68.819999999999993</v>
      </c>
      <c r="I5" s="7">
        <v>58.93</v>
      </c>
      <c r="J5" s="7">
        <v>27.361000000000001</v>
      </c>
      <c r="K5" s="6" t="s">
        <v>42</v>
      </c>
    </row>
    <row r="6" spans="1:11" s="5" customFormat="1" ht="21" customHeight="1" x14ac:dyDescent="0.2">
      <c r="A6" s="10" t="s">
        <v>41</v>
      </c>
      <c r="B6" s="10" t="s">
        <v>40</v>
      </c>
      <c r="C6" s="9">
        <v>91.44</v>
      </c>
      <c r="D6" s="38">
        <v>1250.8900000000001</v>
      </c>
      <c r="E6" s="9">
        <v>13.679899387576601</v>
      </c>
      <c r="F6" s="8" t="s">
        <v>21</v>
      </c>
      <c r="G6" s="7">
        <v>0</v>
      </c>
      <c r="H6" s="7">
        <v>66.67</v>
      </c>
      <c r="I6" s="7">
        <v>85.54</v>
      </c>
      <c r="J6" s="7">
        <v>18.796299999999999</v>
      </c>
      <c r="K6" s="6" t="s">
        <v>17</v>
      </c>
    </row>
    <row r="7" spans="1:11" s="5" customFormat="1" ht="21" customHeight="1" x14ac:dyDescent="0.2">
      <c r="A7" s="10" t="s">
        <v>39</v>
      </c>
      <c r="B7" s="10" t="s">
        <v>38</v>
      </c>
      <c r="C7" s="9">
        <v>90</v>
      </c>
      <c r="D7" s="38">
        <v>1219</v>
      </c>
      <c r="E7" s="9">
        <v>13.5444444444444</v>
      </c>
      <c r="F7" s="8" t="s">
        <v>21</v>
      </c>
      <c r="G7" s="7">
        <v>0</v>
      </c>
      <c r="H7" s="7">
        <v>55.8</v>
      </c>
      <c r="I7" s="7">
        <v>95.45</v>
      </c>
      <c r="J7" s="7">
        <v>2.9847999999999999</v>
      </c>
      <c r="K7" s="6" t="s">
        <v>37</v>
      </c>
    </row>
    <row r="8" spans="1:11" s="5" customFormat="1" ht="21" customHeight="1" x14ac:dyDescent="0.2">
      <c r="A8" s="10" t="s">
        <v>36</v>
      </c>
      <c r="B8" s="10" t="s">
        <v>35</v>
      </c>
      <c r="C8" s="9">
        <v>65</v>
      </c>
      <c r="D8" s="38">
        <v>579</v>
      </c>
      <c r="E8" s="9">
        <v>8.9076923076923098</v>
      </c>
      <c r="F8" s="8" t="s">
        <v>18</v>
      </c>
      <c r="G8" s="7">
        <v>0</v>
      </c>
      <c r="H8" s="7">
        <v>41.1</v>
      </c>
      <c r="I8" s="7">
        <v>60.11</v>
      </c>
      <c r="J8" s="7">
        <v>17.602799999999998</v>
      </c>
      <c r="K8" s="6" t="s">
        <v>17</v>
      </c>
    </row>
    <row r="9" spans="1:11" s="5" customFormat="1" ht="21" customHeight="1" x14ac:dyDescent="0.2">
      <c r="A9" s="10" t="s">
        <v>34</v>
      </c>
      <c r="B9" s="10" t="s">
        <v>33</v>
      </c>
      <c r="C9" s="9">
        <v>227</v>
      </c>
      <c r="D9" s="38">
        <v>1141</v>
      </c>
      <c r="E9" s="9">
        <v>5.0264317180616702</v>
      </c>
      <c r="F9" s="8" t="s">
        <v>18</v>
      </c>
      <c r="G9" s="7">
        <v>0</v>
      </c>
      <c r="H9" s="7">
        <v>36.36</v>
      </c>
      <c r="I9" s="7">
        <v>31.77</v>
      </c>
      <c r="J9" s="7">
        <v>64.102199999999996</v>
      </c>
      <c r="K9" s="6" t="s">
        <v>32</v>
      </c>
    </row>
    <row r="10" spans="1:11" s="5" customFormat="1" ht="21" customHeight="1" x14ac:dyDescent="0.2">
      <c r="A10" s="10" t="s">
        <v>31</v>
      </c>
      <c r="B10" s="10" t="s">
        <v>30</v>
      </c>
      <c r="C10" s="9">
        <v>166.57</v>
      </c>
      <c r="D10" s="38">
        <v>475.14</v>
      </c>
      <c r="E10" s="9">
        <v>2.8524944467791302</v>
      </c>
      <c r="F10" s="8" t="s">
        <v>18</v>
      </c>
      <c r="G10" s="7">
        <v>0</v>
      </c>
      <c r="H10" s="7">
        <v>57.8</v>
      </c>
      <c r="I10" s="7">
        <v>87.04</v>
      </c>
      <c r="J10" s="7">
        <v>3.3397600000000001</v>
      </c>
      <c r="K10" s="6" t="s">
        <v>17</v>
      </c>
    </row>
    <row r="11" spans="1:11" s="5" customFormat="1" ht="21" customHeight="1" x14ac:dyDescent="0.2">
      <c r="A11" s="10" t="s">
        <v>29</v>
      </c>
      <c r="B11" s="10" t="s">
        <v>28</v>
      </c>
      <c r="C11" s="9">
        <v>296.29000000000002</v>
      </c>
      <c r="D11" s="38">
        <v>829.35</v>
      </c>
      <c r="E11" s="9">
        <v>2.79911573120929</v>
      </c>
      <c r="F11" s="8" t="s">
        <v>18</v>
      </c>
      <c r="G11" s="7">
        <v>0.56999999999999995</v>
      </c>
      <c r="H11" s="7">
        <v>31.79</v>
      </c>
      <c r="I11" s="7">
        <v>57.78</v>
      </c>
      <c r="J11" s="7">
        <v>195.916</v>
      </c>
      <c r="K11" s="6" t="s">
        <v>17</v>
      </c>
    </row>
    <row r="12" spans="1:11" s="5" customFormat="1" ht="21" customHeight="1" x14ac:dyDescent="0.2">
      <c r="A12" s="10" t="s">
        <v>27</v>
      </c>
      <c r="B12" s="10" t="s">
        <v>26</v>
      </c>
      <c r="C12" s="9">
        <v>187</v>
      </c>
      <c r="D12" s="38">
        <v>443</v>
      </c>
      <c r="E12" s="9">
        <v>2.3689839572192501</v>
      </c>
      <c r="F12" s="8" t="s">
        <v>18</v>
      </c>
      <c r="G12" s="7">
        <v>0</v>
      </c>
      <c r="H12" s="7">
        <v>30.51</v>
      </c>
      <c r="I12" s="7">
        <v>47.07</v>
      </c>
      <c r="J12" s="7">
        <v>25.4331</v>
      </c>
      <c r="K12" s="6" t="s">
        <v>17</v>
      </c>
    </row>
    <row r="13" spans="1:11" s="5" customFormat="1" ht="21" customHeight="1" x14ac:dyDescent="0.2">
      <c r="A13" s="10" t="s">
        <v>25</v>
      </c>
      <c r="B13" s="10" t="s">
        <v>24</v>
      </c>
      <c r="C13" s="9">
        <v>138</v>
      </c>
      <c r="D13" s="38">
        <v>322</v>
      </c>
      <c r="E13" s="9">
        <v>2.3333333333333299</v>
      </c>
      <c r="F13" s="8" t="s">
        <v>18</v>
      </c>
      <c r="G13" s="7">
        <v>0</v>
      </c>
      <c r="H13" s="7">
        <v>55.77</v>
      </c>
      <c r="I13" s="7">
        <v>95.74</v>
      </c>
      <c r="J13" s="7">
        <v>5.6831899999999997</v>
      </c>
      <c r="K13" s="6" t="s">
        <v>17</v>
      </c>
    </row>
    <row r="14" spans="1:11" s="5" customFormat="1" ht="21" customHeight="1" x14ac:dyDescent="0.2">
      <c r="A14" s="10" t="s">
        <v>23</v>
      </c>
      <c r="B14" s="10" t="s">
        <v>22</v>
      </c>
      <c r="C14" s="9">
        <v>73.84</v>
      </c>
      <c r="D14" s="38">
        <v>166.1</v>
      </c>
      <c r="E14" s="9">
        <v>2.2494582881906799</v>
      </c>
      <c r="F14" s="8" t="s">
        <v>21</v>
      </c>
      <c r="G14" s="7">
        <v>0</v>
      </c>
      <c r="H14" s="7">
        <v>72</v>
      </c>
      <c r="I14" s="7">
        <v>98.09</v>
      </c>
      <c r="J14" s="7">
        <v>36.478999999999999</v>
      </c>
      <c r="K14" s="6" t="s">
        <v>17</v>
      </c>
    </row>
    <row r="15" spans="1:11" s="5" customFormat="1" ht="21" customHeight="1" x14ac:dyDescent="0.2">
      <c r="A15" s="10" t="s">
        <v>20</v>
      </c>
      <c r="B15" s="10" t="s">
        <v>19</v>
      </c>
      <c r="C15" s="9">
        <v>97</v>
      </c>
      <c r="D15" s="38">
        <v>213</v>
      </c>
      <c r="E15" s="9">
        <v>2.19587628865979</v>
      </c>
      <c r="F15" s="8" t="s">
        <v>18</v>
      </c>
      <c r="G15" s="7">
        <v>0</v>
      </c>
      <c r="H15" s="7">
        <v>53.06</v>
      </c>
      <c r="I15" s="7">
        <v>40</v>
      </c>
      <c r="J15" s="7">
        <v>2.3269600000000001</v>
      </c>
      <c r="K15" s="6" t="s">
        <v>17</v>
      </c>
    </row>
    <row r="17" spans="1:11" x14ac:dyDescent="0.2">
      <c r="A17" s="43" t="s">
        <v>125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</row>
  </sheetData>
  <mergeCells count="2">
    <mergeCell ref="A1:K1"/>
    <mergeCell ref="A17:K17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zoomScaleNormal="100" zoomScalePageLayoutView="160" workbookViewId="0">
      <selection activeCell="C28" sqref="C28"/>
    </sheetView>
  </sheetViews>
  <sheetFormatPr defaultColWidth="8.85546875" defaultRowHeight="15" x14ac:dyDescent="0.25"/>
  <cols>
    <col min="1" max="1" width="19.7109375" customWidth="1"/>
    <col min="2" max="2" width="43.5703125" customWidth="1"/>
    <col min="3" max="3" width="10" style="16" customWidth="1"/>
    <col min="4" max="4" width="10" customWidth="1"/>
    <col min="5" max="11" width="10" style="16" customWidth="1"/>
  </cols>
  <sheetData>
    <row r="1" spans="1:11" s="1" customFormat="1" x14ac:dyDescent="0.25">
      <c r="A1" s="44" t="s">
        <v>123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1" s="27" customFormat="1" ht="30" customHeight="1" x14ac:dyDescent="0.25">
      <c r="A2" s="30" t="s">
        <v>96</v>
      </c>
      <c r="B2" s="30" t="s">
        <v>100</v>
      </c>
      <c r="C2" s="29" t="s">
        <v>95</v>
      </c>
      <c r="D2" s="29" t="s">
        <v>94</v>
      </c>
      <c r="E2" s="29" t="s">
        <v>55</v>
      </c>
      <c r="F2" s="29" t="s">
        <v>54</v>
      </c>
      <c r="G2" s="28" t="s">
        <v>53</v>
      </c>
      <c r="H2" s="28" t="s">
        <v>52</v>
      </c>
      <c r="I2" s="28" t="s">
        <v>51</v>
      </c>
      <c r="J2" s="28" t="s">
        <v>50</v>
      </c>
      <c r="K2" s="28" t="s">
        <v>49</v>
      </c>
    </row>
    <row r="3" spans="1:11" ht="21" customHeight="1" x14ac:dyDescent="0.25">
      <c r="A3" s="23" t="s">
        <v>93</v>
      </c>
      <c r="B3" s="22" t="s">
        <v>92</v>
      </c>
      <c r="C3" s="21">
        <v>17</v>
      </c>
      <c r="D3" s="39">
        <v>1237</v>
      </c>
      <c r="E3" s="20">
        <f>Table1[[#This Row],[WT score]]/Table1[[#This Row],[MT score]]</f>
        <v>72.764705882352942</v>
      </c>
      <c r="F3" s="16" t="s">
        <v>59</v>
      </c>
      <c r="G3" s="16">
        <v>0</v>
      </c>
      <c r="H3" s="16">
        <v>21.49</v>
      </c>
      <c r="I3" s="19">
        <v>23.38</v>
      </c>
      <c r="J3" s="18">
        <v>12.605600000000001</v>
      </c>
      <c r="K3" s="17" t="s">
        <v>32</v>
      </c>
    </row>
    <row r="4" spans="1:11" ht="21" customHeight="1" x14ac:dyDescent="0.25">
      <c r="A4" s="23" t="s">
        <v>91</v>
      </c>
      <c r="B4" s="22" t="s">
        <v>90</v>
      </c>
      <c r="C4" s="21">
        <v>135</v>
      </c>
      <c r="D4" s="39">
        <v>446</v>
      </c>
      <c r="E4" s="20">
        <f>Table1[[#This Row],[WT score]]/Table1[[#This Row],[MT score]]</f>
        <v>3.3037037037037038</v>
      </c>
      <c r="F4" s="16" t="s">
        <v>59</v>
      </c>
      <c r="G4" s="16">
        <v>0</v>
      </c>
      <c r="H4" s="16">
        <v>30.23</v>
      </c>
      <c r="I4" s="19">
        <v>31.88</v>
      </c>
      <c r="J4" s="18">
        <v>2.8068400000000002</v>
      </c>
      <c r="K4" s="16" t="s">
        <v>69</v>
      </c>
    </row>
    <row r="5" spans="1:11" ht="21" customHeight="1" x14ac:dyDescent="0.25">
      <c r="A5" s="23" t="s">
        <v>89</v>
      </c>
      <c r="B5" s="22" t="s">
        <v>88</v>
      </c>
      <c r="C5" s="21">
        <v>290</v>
      </c>
      <c r="D5" s="39">
        <v>877</v>
      </c>
      <c r="E5" s="20">
        <f>Table1[[#This Row],[WT score]]/Table1[[#This Row],[MT score]]</f>
        <v>3.0241379310344829</v>
      </c>
      <c r="F5" s="16" t="s">
        <v>62</v>
      </c>
      <c r="G5" s="16">
        <v>0</v>
      </c>
      <c r="H5" s="16">
        <v>80</v>
      </c>
      <c r="I5" s="19">
        <v>76.88</v>
      </c>
      <c r="J5" s="18">
        <v>10.504200000000001</v>
      </c>
      <c r="K5" s="16" t="s">
        <v>69</v>
      </c>
    </row>
    <row r="6" spans="1:11" ht="21" customHeight="1" x14ac:dyDescent="0.25">
      <c r="A6" s="23" t="s">
        <v>87</v>
      </c>
      <c r="B6" s="22" t="s">
        <v>86</v>
      </c>
      <c r="C6" s="21">
        <v>2413</v>
      </c>
      <c r="D6" s="39">
        <v>4232</v>
      </c>
      <c r="E6" s="20">
        <f>Table1[[#This Row],[WT score]]/Table1[[#This Row],[MT score]]</f>
        <v>1.7538334024036468</v>
      </c>
      <c r="F6" s="16" t="s">
        <v>62</v>
      </c>
      <c r="G6" s="16">
        <v>0</v>
      </c>
      <c r="H6" s="16">
        <v>65.22</v>
      </c>
      <c r="I6" s="19">
        <v>51.04</v>
      </c>
      <c r="J6" s="18">
        <v>4.2684600000000001</v>
      </c>
      <c r="K6" s="17" t="s">
        <v>37</v>
      </c>
    </row>
    <row r="7" spans="1:11" ht="21" customHeight="1" x14ac:dyDescent="0.25">
      <c r="A7" s="23" t="s">
        <v>85</v>
      </c>
      <c r="B7" s="22" t="s">
        <v>84</v>
      </c>
      <c r="C7" s="21">
        <v>2390</v>
      </c>
      <c r="D7" s="39">
        <v>4115</v>
      </c>
      <c r="E7" s="20">
        <f>Table1[[#This Row],[WT score]]/Table1[[#This Row],[MT score]]</f>
        <v>1.7217573221757323</v>
      </c>
      <c r="F7" s="16" t="s">
        <v>62</v>
      </c>
      <c r="G7" s="16">
        <v>0</v>
      </c>
      <c r="H7" s="16">
        <v>17.329999999999998</v>
      </c>
      <c r="I7" s="19">
        <v>9.09</v>
      </c>
      <c r="J7" s="18">
        <v>0.55787799999999999</v>
      </c>
      <c r="K7" s="17" t="s">
        <v>32</v>
      </c>
    </row>
    <row r="8" spans="1:11" ht="21" customHeight="1" x14ac:dyDescent="0.25">
      <c r="A8" s="23" t="s">
        <v>83</v>
      </c>
      <c r="B8" s="22" t="s">
        <v>82</v>
      </c>
      <c r="C8" s="21">
        <v>257</v>
      </c>
      <c r="D8" s="39">
        <v>418</v>
      </c>
      <c r="E8" s="20">
        <f>Table1[[#This Row],[WT score]]/Table1[[#This Row],[MT score]]</f>
        <v>1.6264591439688716</v>
      </c>
      <c r="F8" s="16" t="s">
        <v>62</v>
      </c>
      <c r="G8" s="16">
        <v>1.54</v>
      </c>
      <c r="H8" s="16">
        <v>63.24</v>
      </c>
      <c r="I8" s="19">
        <v>44.12</v>
      </c>
      <c r="J8" s="18">
        <v>1.0673999999999999</v>
      </c>
      <c r="K8" s="17" t="s">
        <v>42</v>
      </c>
    </row>
    <row r="9" spans="1:11" ht="21" customHeight="1" x14ac:dyDescent="0.25">
      <c r="A9" s="23" t="s">
        <v>81</v>
      </c>
      <c r="B9" s="22" t="s">
        <v>80</v>
      </c>
      <c r="C9" s="21">
        <v>418</v>
      </c>
      <c r="D9" s="39">
        <v>414</v>
      </c>
      <c r="E9" s="20">
        <f>Table1[[#This Row],[WT score]]/Table1[[#This Row],[MT score]]</f>
        <v>0.99043062200956933</v>
      </c>
      <c r="F9" s="16" t="s">
        <v>62</v>
      </c>
      <c r="G9" s="16">
        <v>0</v>
      </c>
      <c r="H9" s="16">
        <v>19.25</v>
      </c>
      <c r="I9" s="19">
        <v>9.99</v>
      </c>
      <c r="J9" s="18">
        <v>17.513300000000001</v>
      </c>
      <c r="K9" s="16" t="s">
        <v>17</v>
      </c>
    </row>
    <row r="10" spans="1:11" ht="21" customHeight="1" x14ac:dyDescent="0.25">
      <c r="A10" s="23" t="s">
        <v>79</v>
      </c>
      <c r="B10" s="22" t="s">
        <v>78</v>
      </c>
      <c r="C10" s="21">
        <v>293</v>
      </c>
      <c r="D10" s="39">
        <v>263</v>
      </c>
      <c r="E10" s="20">
        <f>Table1[[#This Row],[WT score]]/Table1[[#This Row],[MT score]]</f>
        <v>0.89761092150170652</v>
      </c>
      <c r="F10" s="16" t="s">
        <v>59</v>
      </c>
      <c r="G10" s="16">
        <v>0.32</v>
      </c>
      <c r="H10" s="16">
        <v>20.13</v>
      </c>
      <c r="I10" s="19">
        <v>30.43</v>
      </c>
      <c r="J10" s="18">
        <v>46.906700000000001</v>
      </c>
      <c r="K10" s="16" t="s">
        <v>17</v>
      </c>
    </row>
    <row r="11" spans="1:11" ht="21" customHeight="1" x14ac:dyDescent="0.25">
      <c r="A11" s="25" t="s">
        <v>77</v>
      </c>
      <c r="B11" s="24" t="s">
        <v>76</v>
      </c>
      <c r="C11" s="16">
        <v>162</v>
      </c>
      <c r="D11" s="39">
        <v>138</v>
      </c>
      <c r="E11" s="20">
        <f>Table1[[#This Row],[WT score]]/Table1[[#This Row],[MT score]]</f>
        <v>0.85185185185185186</v>
      </c>
      <c r="F11" s="16" t="s">
        <v>59</v>
      </c>
      <c r="G11" s="16">
        <v>0</v>
      </c>
      <c r="H11" s="16">
        <v>36</v>
      </c>
      <c r="I11" s="19">
        <v>62.07</v>
      </c>
      <c r="J11" s="18">
        <v>20.634</v>
      </c>
      <c r="K11" s="16" t="s">
        <v>17</v>
      </c>
    </row>
    <row r="12" spans="1:11" ht="21" customHeight="1" x14ac:dyDescent="0.25">
      <c r="A12" s="23" t="s">
        <v>75</v>
      </c>
      <c r="B12" s="22" t="s">
        <v>74</v>
      </c>
      <c r="C12" s="21">
        <v>286</v>
      </c>
      <c r="D12" s="39">
        <v>218</v>
      </c>
      <c r="E12" s="20">
        <f>Table1[[#This Row],[WT score]]/Table1[[#This Row],[MT score]]</f>
        <v>0.76223776223776218</v>
      </c>
      <c r="F12" s="16" t="s">
        <v>62</v>
      </c>
      <c r="G12" s="16">
        <v>0</v>
      </c>
      <c r="H12" s="16">
        <v>70.47</v>
      </c>
      <c r="I12" s="19">
        <v>92.45</v>
      </c>
      <c r="J12" s="18">
        <v>2.6608000000000001</v>
      </c>
      <c r="K12" s="17" t="s">
        <v>32</v>
      </c>
    </row>
    <row r="13" spans="1:11" ht="21" customHeight="1" x14ac:dyDescent="0.25">
      <c r="A13" s="25" t="s">
        <v>73</v>
      </c>
      <c r="B13" s="26" t="s">
        <v>72</v>
      </c>
      <c r="C13" s="16">
        <v>471</v>
      </c>
      <c r="D13" s="39">
        <v>302</v>
      </c>
      <c r="E13" s="20">
        <f>Table1[[#This Row],[WT score]]/Table1[[#This Row],[MT score]]</f>
        <v>0.64118895966029721</v>
      </c>
      <c r="F13" s="16" t="s">
        <v>62</v>
      </c>
      <c r="G13" s="16">
        <v>1.59</v>
      </c>
      <c r="H13" s="16">
        <v>46.01</v>
      </c>
      <c r="I13" s="19">
        <v>55.95</v>
      </c>
      <c r="J13" s="18">
        <v>41.610399999999998</v>
      </c>
      <c r="K13" s="16" t="s">
        <v>17</v>
      </c>
    </row>
    <row r="14" spans="1:11" ht="21" customHeight="1" x14ac:dyDescent="0.25">
      <c r="A14" s="23" t="s">
        <v>71</v>
      </c>
      <c r="B14" s="22" t="s">
        <v>70</v>
      </c>
      <c r="C14" s="21">
        <v>543</v>
      </c>
      <c r="D14" s="39">
        <v>306</v>
      </c>
      <c r="E14" s="20">
        <f>Table1[[#This Row],[WT score]]/Table1[[#This Row],[MT score]]</f>
        <v>0.56353591160220995</v>
      </c>
      <c r="F14" s="16" t="s">
        <v>62</v>
      </c>
      <c r="G14" s="16">
        <v>0</v>
      </c>
      <c r="H14" s="16">
        <v>76.62</v>
      </c>
      <c r="I14" s="19">
        <v>87.78</v>
      </c>
      <c r="J14" s="18">
        <v>3.01126</v>
      </c>
      <c r="K14" s="16" t="s">
        <v>69</v>
      </c>
    </row>
    <row r="15" spans="1:11" ht="21" customHeight="1" x14ac:dyDescent="0.25">
      <c r="A15" s="23" t="s">
        <v>68</v>
      </c>
      <c r="B15" s="22" t="s">
        <v>67</v>
      </c>
      <c r="C15" s="21">
        <v>1817</v>
      </c>
      <c r="D15" s="39">
        <v>904</v>
      </c>
      <c r="E15" s="20">
        <f>Table1[[#This Row],[WT score]]/Table1[[#This Row],[MT score]]</f>
        <v>0.49752339020363234</v>
      </c>
      <c r="F15" s="16" t="s">
        <v>62</v>
      </c>
      <c r="G15" s="16">
        <v>0</v>
      </c>
      <c r="H15" s="16">
        <v>68.63</v>
      </c>
      <c r="I15" s="19">
        <v>74.64</v>
      </c>
      <c r="J15" s="18">
        <v>17.956099999999999</v>
      </c>
      <c r="K15" s="17" t="s">
        <v>32</v>
      </c>
    </row>
    <row r="16" spans="1:11" ht="21" customHeight="1" x14ac:dyDescent="0.25">
      <c r="A16" s="23" t="s">
        <v>66</v>
      </c>
      <c r="B16" s="22" t="s">
        <v>65</v>
      </c>
      <c r="C16" s="21">
        <v>77</v>
      </c>
      <c r="D16" s="39">
        <v>30</v>
      </c>
      <c r="E16" s="20">
        <f>Table1[[#This Row],[WT score]]/Table1[[#This Row],[MT score]]</f>
        <v>0.38961038961038963</v>
      </c>
      <c r="F16" s="16" t="s">
        <v>59</v>
      </c>
      <c r="G16" s="16">
        <v>0</v>
      </c>
      <c r="H16" s="16">
        <v>14.75</v>
      </c>
      <c r="I16" s="19">
        <v>24.19</v>
      </c>
      <c r="J16" s="18">
        <v>6.7877600000000005</v>
      </c>
      <c r="K16" s="17" t="s">
        <v>32</v>
      </c>
    </row>
    <row r="17" spans="1:11" ht="21" customHeight="1" x14ac:dyDescent="0.25">
      <c r="A17" s="25" t="s">
        <v>64</v>
      </c>
      <c r="B17" s="24" t="s">
        <v>63</v>
      </c>
      <c r="C17" s="16">
        <v>246</v>
      </c>
      <c r="D17" s="39">
        <v>95</v>
      </c>
      <c r="E17" s="20">
        <f>Table1[[#This Row],[WT score]]/Table1[[#This Row],[MT score]]</f>
        <v>0.38617886178861788</v>
      </c>
      <c r="F17" s="16" t="s">
        <v>62</v>
      </c>
      <c r="G17" s="16">
        <v>0</v>
      </c>
      <c r="H17" s="16">
        <v>32.909999999999997</v>
      </c>
      <c r="I17" s="19">
        <v>51.81</v>
      </c>
      <c r="J17" s="18">
        <v>3.9444499999999998</v>
      </c>
      <c r="K17" s="16" t="s">
        <v>17</v>
      </c>
    </row>
    <row r="18" spans="1:11" ht="21" customHeight="1" x14ac:dyDescent="0.25">
      <c r="A18" s="23" t="s">
        <v>61</v>
      </c>
      <c r="B18" s="22" t="s">
        <v>60</v>
      </c>
      <c r="C18" s="21">
        <v>27</v>
      </c>
      <c r="D18" s="39">
        <v>8</v>
      </c>
      <c r="E18" s="20">
        <f>Table1[[#This Row],[WT score]]/Table1[[#This Row],[MT score]]</f>
        <v>0.29629629629629628</v>
      </c>
      <c r="F18" s="16" t="s">
        <v>59</v>
      </c>
      <c r="G18" s="16">
        <v>0.65</v>
      </c>
      <c r="H18" s="16">
        <v>23.26</v>
      </c>
      <c r="I18" s="19">
        <v>33.33</v>
      </c>
      <c r="J18" s="18">
        <v>0.16427600000000001</v>
      </c>
      <c r="K18" s="17" t="s">
        <v>42</v>
      </c>
    </row>
    <row r="20" spans="1:11" x14ac:dyDescent="0.25">
      <c r="A20" s="43" t="s">
        <v>125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</row>
  </sheetData>
  <mergeCells count="2">
    <mergeCell ref="A1:K1"/>
    <mergeCell ref="A20:K20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zoomScaleNormal="100" zoomScalePageLayoutView="160" workbookViewId="0">
      <selection activeCell="B19" sqref="B19"/>
    </sheetView>
  </sheetViews>
  <sheetFormatPr defaultColWidth="8.85546875" defaultRowHeight="15" x14ac:dyDescent="0.25"/>
  <cols>
    <col min="1" max="1" width="21.42578125" customWidth="1"/>
    <col min="2" max="2" width="40.42578125" customWidth="1"/>
    <col min="3" max="3" width="10" style="16" customWidth="1"/>
    <col min="4" max="4" width="10" customWidth="1"/>
    <col min="5" max="5" width="10" style="16" customWidth="1"/>
    <col min="6" max="6" width="12.28515625" style="16" customWidth="1"/>
    <col min="7" max="11" width="10" style="16" customWidth="1"/>
  </cols>
  <sheetData>
    <row r="1" spans="1:11" s="1" customFormat="1" x14ac:dyDescent="0.25">
      <c r="A1" s="44" t="s">
        <v>124</v>
      </c>
      <c r="B1" s="44"/>
      <c r="C1" s="44"/>
      <c r="D1" s="44"/>
      <c r="E1" s="44"/>
      <c r="F1" s="44"/>
      <c r="G1" s="41"/>
      <c r="H1" s="41"/>
      <c r="I1" s="41"/>
      <c r="J1" s="41"/>
      <c r="K1" s="41"/>
    </row>
    <row r="2" spans="1:11" s="27" customFormat="1" ht="30" customHeight="1" x14ac:dyDescent="0.25">
      <c r="A2" s="30" t="s">
        <v>96</v>
      </c>
      <c r="B2" s="30" t="s">
        <v>101</v>
      </c>
      <c r="C2" s="29" t="s">
        <v>95</v>
      </c>
      <c r="D2" s="29" t="s">
        <v>94</v>
      </c>
      <c r="E2" s="29" t="s">
        <v>55</v>
      </c>
      <c r="F2" s="29" t="s">
        <v>115</v>
      </c>
    </row>
    <row r="3" spans="1:11" ht="21" customHeight="1" x14ac:dyDescent="0.25">
      <c r="A3" s="35" t="s">
        <v>127</v>
      </c>
      <c r="B3" s="40" t="s">
        <v>102</v>
      </c>
      <c r="C3" s="21">
        <v>5.5</v>
      </c>
      <c r="D3" s="39">
        <v>8.6999999999999993</v>
      </c>
      <c r="E3" s="37">
        <f>Table15[[#This Row],[WT score]]/Table15[[#This Row],[MT score]]</f>
        <v>1.5818181818181818</v>
      </c>
      <c r="F3" s="34" t="s">
        <v>116</v>
      </c>
      <c r="G3"/>
      <c r="H3"/>
      <c r="I3"/>
      <c r="J3"/>
      <c r="K3"/>
    </row>
    <row r="4" spans="1:11" ht="21" customHeight="1" x14ac:dyDescent="0.25">
      <c r="A4" s="35" t="s">
        <v>126</v>
      </c>
      <c r="B4" s="40" t="s">
        <v>103</v>
      </c>
      <c r="C4" s="21">
        <v>147.19999999999999</v>
      </c>
      <c r="D4" s="39">
        <v>196</v>
      </c>
      <c r="E4" s="37">
        <f>Table15[[#This Row],[WT score]]/Table15[[#This Row],[MT score]]</f>
        <v>1.3315217391304348</v>
      </c>
      <c r="F4" s="34" t="s">
        <v>117</v>
      </c>
      <c r="G4"/>
      <c r="H4"/>
      <c r="I4"/>
      <c r="J4"/>
      <c r="K4"/>
    </row>
    <row r="5" spans="1:11" ht="21" customHeight="1" x14ac:dyDescent="0.25">
      <c r="A5" s="35" t="s">
        <v>128</v>
      </c>
      <c r="B5" s="40" t="s">
        <v>104</v>
      </c>
      <c r="C5" s="21">
        <v>31</v>
      </c>
      <c r="D5" s="39">
        <v>34</v>
      </c>
      <c r="E5" s="37">
        <f>Table15[[#This Row],[WT score]]/Table15[[#This Row],[MT score]]</f>
        <v>1.096774193548387</v>
      </c>
      <c r="F5" s="34" t="s">
        <v>118</v>
      </c>
      <c r="G5"/>
      <c r="H5"/>
      <c r="I5"/>
      <c r="J5"/>
      <c r="K5"/>
    </row>
    <row r="6" spans="1:11" ht="21" customHeight="1" x14ac:dyDescent="0.25">
      <c r="A6" s="35" t="s">
        <v>129</v>
      </c>
      <c r="B6" s="40" t="s">
        <v>105</v>
      </c>
      <c r="C6" s="21">
        <v>147.19999999999999</v>
      </c>
      <c r="D6" s="39">
        <v>196</v>
      </c>
      <c r="E6" s="37">
        <f>Table15[[#This Row],[WT score]]/Table15[[#This Row],[MT score]]</f>
        <v>1.3315217391304348</v>
      </c>
      <c r="F6" s="34" t="s">
        <v>118</v>
      </c>
      <c r="G6"/>
      <c r="H6"/>
      <c r="I6"/>
      <c r="J6"/>
      <c r="K6"/>
    </row>
    <row r="7" spans="1:11" ht="21" customHeight="1" x14ac:dyDescent="0.25">
      <c r="A7" s="35" t="s">
        <v>130</v>
      </c>
      <c r="B7" s="40" t="s">
        <v>106</v>
      </c>
      <c r="C7" s="21">
        <v>66.900000000000006</v>
      </c>
      <c r="D7" s="39">
        <v>308</v>
      </c>
      <c r="E7" s="37">
        <f>Table15[[#This Row],[WT score]]/Table15[[#This Row],[MT score]]</f>
        <v>4.6038863976083704</v>
      </c>
      <c r="F7" s="34" t="s">
        <v>118</v>
      </c>
      <c r="G7"/>
      <c r="H7"/>
      <c r="I7"/>
      <c r="J7"/>
      <c r="K7"/>
    </row>
    <row r="8" spans="1:11" ht="21" customHeight="1" x14ac:dyDescent="0.25">
      <c r="A8" s="35" t="s">
        <v>131</v>
      </c>
      <c r="B8" s="40" t="s">
        <v>107</v>
      </c>
      <c r="C8" s="21">
        <v>162.5</v>
      </c>
      <c r="D8" s="39">
        <v>264.8</v>
      </c>
      <c r="E8" s="37">
        <f>Table15[[#This Row],[WT score]]/Table15[[#This Row],[MT score]]</f>
        <v>1.6295384615384616</v>
      </c>
      <c r="F8" s="34" t="s">
        <v>119</v>
      </c>
      <c r="G8"/>
      <c r="H8"/>
      <c r="I8"/>
      <c r="J8"/>
      <c r="K8"/>
    </row>
    <row r="9" spans="1:11" ht="21" customHeight="1" x14ac:dyDescent="0.25">
      <c r="A9" s="35" t="s">
        <v>132</v>
      </c>
      <c r="B9" s="40" t="s">
        <v>108</v>
      </c>
      <c r="C9" s="21">
        <v>69.099999999999994</v>
      </c>
      <c r="D9" s="39">
        <v>153.6</v>
      </c>
      <c r="E9" s="37">
        <f>Table15[[#This Row],[WT score]]/Table15[[#This Row],[MT score]]</f>
        <v>2.222865412445731</v>
      </c>
      <c r="F9" s="34" t="s">
        <v>119</v>
      </c>
      <c r="G9"/>
      <c r="H9"/>
      <c r="I9"/>
      <c r="J9"/>
      <c r="K9"/>
    </row>
    <row r="10" spans="1:11" ht="21" customHeight="1" x14ac:dyDescent="0.25">
      <c r="A10" s="35" t="s">
        <v>133</v>
      </c>
      <c r="B10" s="40" t="s">
        <v>109</v>
      </c>
      <c r="C10" s="21">
        <v>20.8</v>
      </c>
      <c r="D10" s="39">
        <v>179.1</v>
      </c>
      <c r="E10" s="37">
        <f>Table15[[#This Row],[WT score]]/Table15[[#This Row],[MT score]]</f>
        <v>8.6105769230769234</v>
      </c>
      <c r="F10" s="34" t="s">
        <v>119</v>
      </c>
      <c r="G10"/>
      <c r="H10"/>
      <c r="I10"/>
      <c r="J10"/>
      <c r="K10"/>
    </row>
    <row r="11" spans="1:11" ht="21" customHeight="1" x14ac:dyDescent="0.25">
      <c r="A11" s="35" t="s">
        <v>134</v>
      </c>
      <c r="B11" s="40" t="s">
        <v>110</v>
      </c>
      <c r="C11" s="34">
        <v>113</v>
      </c>
      <c r="D11" s="39">
        <v>262</v>
      </c>
      <c r="E11" s="37">
        <f>Table15[[#This Row],[WT score]]/Table15[[#This Row],[MT score]]</f>
        <v>2.3185840707964602</v>
      </c>
      <c r="F11" s="34" t="s">
        <v>120</v>
      </c>
      <c r="G11"/>
      <c r="H11"/>
      <c r="I11"/>
      <c r="J11"/>
      <c r="K11"/>
    </row>
    <row r="12" spans="1:11" ht="21" customHeight="1" x14ac:dyDescent="0.25">
      <c r="A12" s="35" t="s">
        <v>135</v>
      </c>
      <c r="B12" s="40" t="s">
        <v>111</v>
      </c>
      <c r="C12" s="21">
        <v>19.100000000000001</v>
      </c>
      <c r="D12" s="39">
        <v>27.2</v>
      </c>
      <c r="E12" s="37">
        <f>Table15[[#This Row],[WT score]]/Table15[[#This Row],[MT score]]</f>
        <v>1.4240837696335078</v>
      </c>
      <c r="F12" s="34" t="s">
        <v>118</v>
      </c>
      <c r="G12"/>
      <c r="H12"/>
      <c r="I12"/>
      <c r="J12"/>
      <c r="K12"/>
    </row>
    <row r="13" spans="1:11" ht="21" customHeight="1" x14ac:dyDescent="0.25">
      <c r="A13" s="35" t="s">
        <v>136</v>
      </c>
      <c r="B13" s="40" t="s">
        <v>112</v>
      </c>
      <c r="C13" s="34">
        <v>6.9</v>
      </c>
      <c r="D13" s="39">
        <v>3738.6</v>
      </c>
      <c r="E13" s="37">
        <f>Table15[[#This Row],[WT score]]/Table15[[#This Row],[MT score]]</f>
        <v>541.82608695652175</v>
      </c>
      <c r="F13" s="34" t="s">
        <v>118</v>
      </c>
      <c r="G13"/>
      <c r="H13"/>
      <c r="I13"/>
      <c r="J13"/>
      <c r="K13"/>
    </row>
    <row r="14" spans="1:11" ht="21" customHeight="1" x14ac:dyDescent="0.25">
      <c r="A14" s="35" t="s">
        <v>137</v>
      </c>
      <c r="B14" s="40" t="s">
        <v>113</v>
      </c>
      <c r="C14" s="21">
        <v>19.600000000000001</v>
      </c>
      <c r="D14" s="39">
        <v>45.4</v>
      </c>
      <c r="E14" s="37">
        <f>Table15[[#This Row],[WT score]]/Table15[[#This Row],[MT score]]</f>
        <v>2.3163265306122445</v>
      </c>
      <c r="F14" s="34" t="s">
        <v>118</v>
      </c>
      <c r="G14"/>
      <c r="H14"/>
      <c r="I14"/>
      <c r="J14"/>
      <c r="K14"/>
    </row>
    <row r="15" spans="1:11" ht="21" customHeight="1" x14ac:dyDescent="0.25">
      <c r="A15" s="36" t="s">
        <v>138</v>
      </c>
      <c r="B15" s="36" t="s">
        <v>114</v>
      </c>
      <c r="C15" s="21">
        <v>9</v>
      </c>
      <c r="D15" s="39">
        <v>17</v>
      </c>
      <c r="E15" s="37">
        <f>Table15[[#This Row],[WT score]]/Table15[[#This Row],[MT score]]</f>
        <v>1.8888888888888888</v>
      </c>
      <c r="F15" s="34" t="s">
        <v>119</v>
      </c>
      <c r="G15"/>
      <c r="H15"/>
      <c r="I15"/>
      <c r="J15"/>
      <c r="K15"/>
    </row>
    <row r="17" spans="1:11" x14ac:dyDescent="0.25">
      <c r="A17" s="43" t="s">
        <v>125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</row>
  </sheetData>
  <mergeCells count="2">
    <mergeCell ref="A17:K17"/>
    <mergeCell ref="A1:F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S1</vt:lpstr>
      <vt:lpstr>Table S2</vt:lpstr>
      <vt:lpstr>Table S3</vt:lpstr>
      <vt:lpstr>Table S4</vt:lpstr>
    </vt:vector>
  </TitlesOfParts>
  <Company>ITC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64Bit</dc:creator>
  <cp:lastModifiedBy>Lijin Li</cp:lastModifiedBy>
  <dcterms:created xsi:type="dcterms:W3CDTF">2019-01-30T20:01:18Z</dcterms:created>
  <dcterms:modified xsi:type="dcterms:W3CDTF">2020-12-18T14:28:56Z</dcterms:modified>
</cp:coreProperties>
</file>